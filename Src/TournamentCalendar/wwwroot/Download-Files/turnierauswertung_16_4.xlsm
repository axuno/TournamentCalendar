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Internet\Websites\volleyball-mixedliga.de\Web\Download-Files\"/>
    </mc:Choice>
  </mc:AlternateContent>
  <bookViews>
    <workbookView xWindow="-15" yWindow="-15" windowWidth="15330" windowHeight="4740" tabRatio="619"/>
  </bookViews>
  <sheets>
    <sheet name="Gruppe A" sheetId="1" r:id="rId1"/>
    <sheet name="Gruppe B" sheetId="6" r:id="rId2"/>
    <sheet name="Gruppe C" sheetId="7" r:id="rId3"/>
    <sheet name="Gruppe D" sheetId="8" r:id="rId4"/>
    <sheet name="Zwi.runde I" sheetId="3" r:id="rId5"/>
    <sheet name="Zwi.runde II" sheetId="9" r:id="rId6"/>
    <sheet name="Finals" sheetId="10" r:id="rId7"/>
    <sheet name="Endstand" sheetId="11" r:id="rId8"/>
    <sheet name="Modus" sheetId="12" r:id="rId9"/>
  </sheets>
  <calcPr calcId="152511"/>
</workbook>
</file>

<file path=xl/calcChain.xml><?xml version="1.0" encoding="utf-8"?>
<calcChain xmlns="http://schemas.openxmlformats.org/spreadsheetml/2006/main">
  <c r="I4" i="10" l="1"/>
  <c r="J4" i="10"/>
  <c r="I6" i="10"/>
  <c r="J6" i="10"/>
  <c r="I11" i="10"/>
  <c r="J11" i="10"/>
  <c r="I13" i="10"/>
  <c r="J13" i="10"/>
  <c r="I18" i="10"/>
  <c r="J18" i="10"/>
  <c r="I20" i="10"/>
  <c r="J20" i="10"/>
  <c r="I25" i="10"/>
  <c r="J25" i="10"/>
  <c r="I27" i="10"/>
  <c r="J27" i="10"/>
  <c r="A9" i="1"/>
  <c r="B9" i="1"/>
  <c r="C9" i="1"/>
  <c r="F9" i="1"/>
  <c r="G9" i="1"/>
  <c r="A10" i="1"/>
  <c r="B10" i="1"/>
  <c r="C10" i="1"/>
  <c r="F10" i="1"/>
  <c r="C21" i="1" s="1"/>
  <c r="G10" i="1"/>
  <c r="B21" i="1" s="1"/>
  <c r="A11" i="1"/>
  <c r="B11" i="1"/>
  <c r="C11" i="1"/>
  <c r="F11" i="1"/>
  <c r="G11" i="1"/>
  <c r="A12" i="1"/>
  <c r="B12" i="1"/>
  <c r="C12" i="1"/>
  <c r="F12" i="1"/>
  <c r="G12" i="1"/>
  <c r="C19" i="1" s="1"/>
  <c r="D19" i="1" s="1"/>
  <c r="A13" i="1"/>
  <c r="B13" i="1"/>
  <c r="C13" i="1"/>
  <c r="F13" i="1"/>
  <c r="B19" i="1" s="1"/>
  <c r="G13" i="1"/>
  <c r="A14" i="1"/>
  <c r="B14" i="1"/>
  <c r="C14" i="1"/>
  <c r="F14" i="1"/>
  <c r="G14" i="1"/>
  <c r="A18" i="1"/>
  <c r="B18" i="1"/>
  <c r="C18" i="1"/>
  <c r="D18" i="1"/>
  <c r="E18" i="1"/>
  <c r="F18" i="1"/>
  <c r="G18" i="1" s="1"/>
  <c r="A19" i="1"/>
  <c r="E19" i="1"/>
  <c r="F19" i="1"/>
  <c r="G19" i="1"/>
  <c r="A20" i="1"/>
  <c r="B15" i="3" s="1"/>
  <c r="B20" i="1"/>
  <c r="E20" i="1"/>
  <c r="F20" i="1"/>
  <c r="G20" i="1"/>
  <c r="A21" i="1"/>
  <c r="E21" i="1"/>
  <c r="F21" i="1"/>
  <c r="G21" i="1"/>
  <c r="A9" i="6"/>
  <c r="B9" i="6"/>
  <c r="C9" i="6"/>
  <c r="F9" i="6"/>
  <c r="B18" i="6" s="1"/>
  <c r="G9" i="6"/>
  <c r="B19" i="6" s="1"/>
  <c r="A10" i="6"/>
  <c r="B10" i="6"/>
  <c r="C10" i="6"/>
  <c r="F10" i="6"/>
  <c r="C21" i="6" s="1"/>
  <c r="D21" i="6" s="1"/>
  <c r="G10" i="6"/>
  <c r="B21" i="6" s="1"/>
  <c r="A11" i="6"/>
  <c r="B11" i="6"/>
  <c r="C11" i="6"/>
  <c r="F11" i="6"/>
  <c r="G11" i="6"/>
  <c r="A12" i="6"/>
  <c r="B12" i="6"/>
  <c r="C12" i="6"/>
  <c r="F12" i="6"/>
  <c r="G12" i="6"/>
  <c r="A13" i="6"/>
  <c r="B13" i="6"/>
  <c r="C13" i="6"/>
  <c r="F13" i="6"/>
  <c r="G13" i="6"/>
  <c r="C19" i="6" s="1"/>
  <c r="D19" i="6" s="1"/>
  <c r="A14" i="6"/>
  <c r="B14" i="6"/>
  <c r="C14" i="6"/>
  <c r="F14" i="6"/>
  <c r="G14" i="6"/>
  <c r="A18" i="6"/>
  <c r="E18" i="6"/>
  <c r="F18" i="6"/>
  <c r="G18" i="6" s="1"/>
  <c r="A19" i="6"/>
  <c r="C4" i="3" s="1"/>
  <c r="E19" i="6"/>
  <c r="F19" i="6"/>
  <c r="G19" i="6" s="1"/>
  <c r="A20" i="6"/>
  <c r="D19" i="3" s="1"/>
  <c r="B20" i="6"/>
  <c r="C20" i="6"/>
  <c r="D20" i="6"/>
  <c r="E20" i="6"/>
  <c r="F20" i="6"/>
  <c r="G20" i="6" s="1"/>
  <c r="A21" i="6"/>
  <c r="E21" i="6"/>
  <c r="F21" i="6"/>
  <c r="G21" i="6"/>
  <c r="A9" i="7"/>
  <c r="B9" i="7"/>
  <c r="C9" i="7"/>
  <c r="F9" i="7"/>
  <c r="B18" i="7" s="1"/>
  <c r="G9" i="7"/>
  <c r="A10" i="7"/>
  <c r="B10" i="7"/>
  <c r="C10" i="7"/>
  <c r="F10" i="7"/>
  <c r="C21" i="7" s="1"/>
  <c r="D21" i="7" s="1"/>
  <c r="G10" i="7"/>
  <c r="A11" i="7"/>
  <c r="B11" i="7"/>
  <c r="C11" i="7"/>
  <c r="F11" i="7"/>
  <c r="G11" i="7"/>
  <c r="C18" i="7" s="1"/>
  <c r="D18" i="7" s="1"/>
  <c r="A12" i="7"/>
  <c r="B12" i="7"/>
  <c r="C12" i="7"/>
  <c r="F12" i="7"/>
  <c r="C20" i="7" s="1"/>
  <c r="G12" i="7"/>
  <c r="A13" i="7"/>
  <c r="B13" i="7"/>
  <c r="C13" i="7"/>
  <c r="F13" i="7"/>
  <c r="G13" i="7"/>
  <c r="B21" i="7" s="1"/>
  <c r="A14" i="7"/>
  <c r="B14" i="7"/>
  <c r="C14" i="7"/>
  <c r="F14" i="7"/>
  <c r="G14" i="7"/>
  <c r="A18" i="7"/>
  <c r="E18" i="7"/>
  <c r="F18" i="7"/>
  <c r="G18" i="7"/>
  <c r="A19" i="7"/>
  <c r="C10" i="3" s="1"/>
  <c r="B19" i="7"/>
  <c r="C19" i="7"/>
  <c r="D19" i="7" s="1"/>
  <c r="E19" i="7"/>
  <c r="F19" i="7"/>
  <c r="G19" i="7" s="1"/>
  <c r="A20" i="7"/>
  <c r="E20" i="7"/>
  <c r="F20" i="7"/>
  <c r="G20" i="7" s="1"/>
  <c r="A21" i="7"/>
  <c r="C21" i="3" s="1"/>
  <c r="E21" i="7"/>
  <c r="F21" i="7"/>
  <c r="G21" i="7" s="1"/>
  <c r="A9" i="8"/>
  <c r="B9" i="8"/>
  <c r="C9" i="8"/>
  <c r="F9" i="8"/>
  <c r="B18" i="8" s="1"/>
  <c r="G9" i="8"/>
  <c r="C18" i="8" s="1"/>
  <c r="A10" i="8"/>
  <c r="B10" i="8"/>
  <c r="C10" i="8"/>
  <c r="F10" i="8"/>
  <c r="B20" i="8" s="1"/>
  <c r="G10" i="8"/>
  <c r="A11" i="8"/>
  <c r="B11" i="8"/>
  <c r="C11" i="8"/>
  <c r="F11" i="8"/>
  <c r="G11" i="8"/>
  <c r="A12" i="8"/>
  <c r="B12" i="8"/>
  <c r="C12" i="8"/>
  <c r="F12" i="8"/>
  <c r="G12" i="8"/>
  <c r="A13" i="8"/>
  <c r="B13" i="8"/>
  <c r="C13" i="8"/>
  <c r="F13" i="8"/>
  <c r="G13" i="8"/>
  <c r="A14" i="8"/>
  <c r="B14" i="8"/>
  <c r="C14" i="8"/>
  <c r="F14" i="8"/>
  <c r="C20" i="8" s="1"/>
  <c r="G14" i="8"/>
  <c r="A18" i="8"/>
  <c r="E18" i="8"/>
  <c r="F18" i="8"/>
  <c r="G18" i="8"/>
  <c r="A19" i="8"/>
  <c r="C8" i="3" s="1"/>
  <c r="C19" i="8"/>
  <c r="E19" i="8"/>
  <c r="F19" i="8"/>
  <c r="G19" i="8"/>
  <c r="A20" i="8"/>
  <c r="B21" i="3" s="1"/>
  <c r="E20" i="8"/>
  <c r="F20" i="8"/>
  <c r="G20" i="8"/>
  <c r="A21" i="8"/>
  <c r="B21" i="8"/>
  <c r="C21" i="8"/>
  <c r="D21" i="8" s="1"/>
  <c r="E21" i="8"/>
  <c r="F21" i="8"/>
  <c r="G21" i="8" s="1"/>
  <c r="B4" i="3"/>
  <c r="D4" i="3"/>
  <c r="G4" i="3"/>
  <c r="B11" i="9" s="1"/>
  <c r="B18" i="10" s="1"/>
  <c r="B7" i="11" s="1"/>
  <c r="H4" i="3"/>
  <c r="B6" i="3"/>
  <c r="C6" i="3"/>
  <c r="B13" i="9" s="1"/>
  <c r="D6" i="3"/>
  <c r="G6" i="3"/>
  <c r="H6" i="3"/>
  <c r="B6" i="9" s="1"/>
  <c r="B8" i="3"/>
  <c r="D8" i="3"/>
  <c r="G8" i="3"/>
  <c r="H8" i="3"/>
  <c r="B10" i="3"/>
  <c r="D10" i="3"/>
  <c r="G10" i="3"/>
  <c r="C6" i="9" s="1"/>
  <c r="C27" i="10" s="1"/>
  <c r="H10" i="3"/>
  <c r="C15" i="3"/>
  <c r="D15" i="3"/>
  <c r="G15" i="3"/>
  <c r="H15" i="3"/>
  <c r="B18" i="9" s="1"/>
  <c r="C17" i="3"/>
  <c r="D17" i="3"/>
  <c r="G17" i="3"/>
  <c r="B27" i="9" s="1"/>
  <c r="H17" i="3"/>
  <c r="B19" i="3"/>
  <c r="C19" i="3"/>
  <c r="C25" i="9" s="1"/>
  <c r="G19" i="3"/>
  <c r="H19" i="3"/>
  <c r="C18" i="9" s="1"/>
  <c r="G21" i="3"/>
  <c r="C27" i="9" s="1"/>
  <c r="C6" i="10" s="1"/>
  <c r="H21" i="3"/>
  <c r="B4" i="9"/>
  <c r="C4" i="9"/>
  <c r="G4" i="9"/>
  <c r="B25" i="10" s="1"/>
  <c r="H4" i="9"/>
  <c r="G6" i="9"/>
  <c r="C25" i="10" s="1"/>
  <c r="H6" i="9"/>
  <c r="G11" i="9"/>
  <c r="H11" i="9"/>
  <c r="G13" i="9"/>
  <c r="H13" i="9"/>
  <c r="G18" i="9"/>
  <c r="H18" i="9"/>
  <c r="G20" i="9"/>
  <c r="H20" i="9"/>
  <c r="B25" i="9"/>
  <c r="G25" i="9"/>
  <c r="B4" i="10" s="1"/>
  <c r="H25" i="9"/>
  <c r="G27" i="9"/>
  <c r="H27" i="9"/>
  <c r="B11" i="10" l="1"/>
  <c r="B11" i="11" s="1"/>
  <c r="D20" i="8"/>
  <c r="D18" i="8"/>
  <c r="C20" i="10"/>
  <c r="B10" i="11" s="1"/>
  <c r="B6" i="11"/>
  <c r="B17" i="11"/>
  <c r="B20" i="10"/>
  <c r="B9" i="11" s="1"/>
  <c r="C4" i="10"/>
  <c r="C11" i="9"/>
  <c r="D21" i="1"/>
  <c r="B3" i="11"/>
  <c r="B15" i="11"/>
  <c r="C20" i="1"/>
  <c r="D20" i="1" s="1"/>
  <c r="B19" i="8"/>
  <c r="D19" i="8" s="1"/>
  <c r="B27" i="10"/>
  <c r="B5" i="11" s="1"/>
  <c r="B6" i="10"/>
  <c r="C18" i="6"/>
  <c r="D18" i="6" s="1"/>
  <c r="C20" i="9"/>
  <c r="C13" i="10" s="1"/>
  <c r="B14" i="11" s="1"/>
  <c r="D21" i="3"/>
  <c r="B17" i="3"/>
  <c r="B20" i="7"/>
  <c r="D20" i="7" s="1"/>
  <c r="C13" i="9"/>
  <c r="C18" i="10"/>
  <c r="B8" i="11" s="1"/>
  <c r="B20" i="9"/>
  <c r="C11" i="10" s="1"/>
  <c r="B12" i="11" s="1"/>
  <c r="B13" i="10"/>
  <c r="B13" i="11" s="1"/>
  <c r="B18" i="11"/>
  <c r="B16" i="11"/>
  <c r="B4" i="11"/>
</calcChain>
</file>

<file path=xl/comments1.xml><?xml version="1.0" encoding="utf-8"?>
<comments xmlns="http://schemas.openxmlformats.org/spreadsheetml/2006/main">
  <authors>
    <author>Bernd Lerch</author>
  </authors>
  <commentList>
    <comment ref="G19" authorId="0" shapeId="0">
      <text>
        <r>
          <rPr>
            <b/>
            <sz val="8"/>
            <color indexed="81"/>
            <rFont val="Tahoma"/>
          </rPr>
          <t xml:space="preserve">Axel Bülow:
Quotient = Bälle+ / Bälle-
</t>
        </r>
      </text>
    </comment>
  </commentList>
</comments>
</file>

<file path=xl/sharedStrings.xml><?xml version="1.0" encoding="utf-8"?>
<sst xmlns="http://schemas.openxmlformats.org/spreadsheetml/2006/main" count="302" uniqueCount="119">
  <si>
    <t>Tabelle</t>
  </si>
  <si>
    <t>Spielplan Vorrunde</t>
  </si>
  <si>
    <t>Mannschaft 1</t>
  </si>
  <si>
    <t>Mannschaft 2</t>
  </si>
  <si>
    <t>Schiedsrichter</t>
  </si>
  <si>
    <t>Bälle M1</t>
  </si>
  <si>
    <t>Bälle M2</t>
  </si>
  <si>
    <t>Punkte M1</t>
  </si>
  <si>
    <t>Punkte M2</t>
  </si>
  <si>
    <t>Zeit</t>
  </si>
  <si>
    <t>Team</t>
  </si>
  <si>
    <t>Punkte +</t>
  </si>
  <si>
    <t>Bälle +</t>
  </si>
  <si>
    <t>Bälle -</t>
  </si>
  <si>
    <t>Punkte -</t>
  </si>
  <si>
    <t>Platz</t>
  </si>
  <si>
    <t>Ballquotient</t>
  </si>
  <si>
    <t>Punktequotient</t>
  </si>
  <si>
    <t>Mannschaften Gruppe B</t>
  </si>
  <si>
    <t>Mannschaften Gruppe A</t>
  </si>
  <si>
    <t>Mannschaften Gruppe C</t>
  </si>
  <si>
    <t>Mannschaften Gruppe D</t>
  </si>
  <si>
    <t>Halle/Feld</t>
  </si>
  <si>
    <t>Überkreuz der Gruppenersten und Gruppenzweiten</t>
  </si>
  <si>
    <t>Überkreuz der Gruppendritten und Gruppenvierten</t>
  </si>
  <si>
    <t>Erster Gruppe A</t>
  </si>
  <si>
    <t>Zweiter GruppeB</t>
  </si>
  <si>
    <t>Erster Gruppe B</t>
  </si>
  <si>
    <t>Zweiter Gruppe C</t>
  </si>
  <si>
    <t>Erster Gruppe C</t>
  </si>
  <si>
    <t>Zweiter Gruppe D</t>
  </si>
  <si>
    <t>Erster Gruppe D</t>
  </si>
  <si>
    <t>Zweiter Gruppe A</t>
  </si>
  <si>
    <t>Dritter Gruppe A</t>
  </si>
  <si>
    <t>Vierter GruppeB</t>
  </si>
  <si>
    <t>Dritter Gruppe B</t>
  </si>
  <si>
    <t>Vierter Gruppe C</t>
  </si>
  <si>
    <t>Dritter Gruppe C</t>
  </si>
  <si>
    <t>Vierter Gruppe D</t>
  </si>
  <si>
    <t>Dritter Gruppe D</t>
  </si>
  <si>
    <t>Vierter Gruppe A</t>
  </si>
  <si>
    <t>A/1</t>
  </si>
  <si>
    <t>A/2</t>
  </si>
  <si>
    <t>B/1</t>
  </si>
  <si>
    <t>B/2</t>
  </si>
  <si>
    <t>Sieger Überkreuz der Gruppenersten und Gruppenzweiten</t>
  </si>
  <si>
    <t>Verlierer Überkreuz der Gruppenersten und Gruppenzweiten</t>
  </si>
  <si>
    <t>Spiel</t>
  </si>
  <si>
    <t>Sieger Spiel 1</t>
  </si>
  <si>
    <t>Sieger Spiel 2</t>
  </si>
  <si>
    <t>Sieger Spiel 3</t>
  </si>
  <si>
    <t>Sieger Spiel 4</t>
  </si>
  <si>
    <t>Verlierer Spiel 1</t>
  </si>
  <si>
    <t>Erster A</t>
  </si>
  <si>
    <t>Zweiter A</t>
  </si>
  <si>
    <t>Dritter A</t>
  </si>
  <si>
    <t>Vierter A</t>
  </si>
  <si>
    <t>Erster B</t>
  </si>
  <si>
    <t>Zweiter B</t>
  </si>
  <si>
    <t>Dritter B</t>
  </si>
  <si>
    <t>Vierter B</t>
  </si>
  <si>
    <t>Erster C</t>
  </si>
  <si>
    <t>Zweiter C</t>
  </si>
  <si>
    <t>Dritter C</t>
  </si>
  <si>
    <t>Vierter C</t>
  </si>
  <si>
    <t>Erster D</t>
  </si>
  <si>
    <t>Zweiter D</t>
  </si>
  <si>
    <t>Dritter D</t>
  </si>
  <si>
    <t>Vierter D</t>
  </si>
  <si>
    <t>Verlierer Spiel 3</t>
  </si>
  <si>
    <t>Verlierer Spiel 2</t>
  </si>
  <si>
    <t>Verlierer Spiel 4</t>
  </si>
  <si>
    <t>Sieger Überkreuz der Gruppendritten und Gruppenvierten</t>
  </si>
  <si>
    <t>Verlierer Überkreuz der Gruppendritten und Gruppenvierten</t>
  </si>
  <si>
    <t>Sieger Spiel 5</t>
  </si>
  <si>
    <t>Sieger Spiel 7</t>
  </si>
  <si>
    <t>Sieger Spiel 6</t>
  </si>
  <si>
    <t>Sieger Spiel 8</t>
  </si>
  <si>
    <t>Verlierer Spiel 5</t>
  </si>
  <si>
    <t>Verlierer Spiel 7</t>
  </si>
  <si>
    <t>Verlierer Spiel 6</t>
  </si>
  <si>
    <t>Verlierer Spiel 8</t>
  </si>
  <si>
    <t>Spiel
um
Platz</t>
  </si>
  <si>
    <t>Sieger Spiel 9</t>
  </si>
  <si>
    <t>Sieger Spiel 10</t>
  </si>
  <si>
    <t>Verlierer Spiel 9</t>
  </si>
  <si>
    <t>Verlierer Spiel 10</t>
  </si>
  <si>
    <t>Plätze 1-4</t>
  </si>
  <si>
    <t>Plätze 5-8</t>
  </si>
  <si>
    <t>Plätze 9-12</t>
  </si>
  <si>
    <t>Plätze 13-16</t>
  </si>
  <si>
    <t>Sieger Spiel 11</t>
  </si>
  <si>
    <t>Sieger Spiel 12</t>
  </si>
  <si>
    <t>Verlierer Spiel 11</t>
  </si>
  <si>
    <t>Verlierer Spiel 12</t>
  </si>
  <si>
    <t>Sieger Spiel 13</t>
  </si>
  <si>
    <t>Sieger Spiel 14</t>
  </si>
  <si>
    <t>Sieger Spiel 15</t>
  </si>
  <si>
    <t>Sieger Spiel 16</t>
  </si>
  <si>
    <t>Verlierer Spiel 13</t>
  </si>
  <si>
    <t>Verlierer Spiel 14</t>
  </si>
  <si>
    <t>Verlierer Spiel 15</t>
  </si>
  <si>
    <t>Verlierer Spiel 16</t>
  </si>
  <si>
    <t>Mannschaft</t>
  </si>
  <si>
    <t>Endstand Turnier 2000</t>
  </si>
  <si>
    <t>Ball-
punkte
M1</t>
  </si>
  <si>
    <t>Ball-
punkte
M2</t>
  </si>
  <si>
    <t>Satz-
punkte
M1</t>
  </si>
  <si>
    <t>Satz-
punkte
M2</t>
  </si>
  <si>
    <t>Spiel-
punkte
M1</t>
  </si>
  <si>
    <t>Spiel-
punkte
M2</t>
  </si>
  <si>
    <t>Es stehen 4 Spielfelder zur Verfügung und 16 Mannschaften nehmen am Turnier teil.</t>
  </si>
  <si>
    <r>
      <t>Zwischenrunde 1:</t>
    </r>
    <r>
      <rPr>
        <sz val="10"/>
        <rFont val="Arial"/>
      </rPr>
      <t xml:space="preserve"> Überkreuz der Gruppenersten/-zweiten, Gruppendritten/-vierten.</t>
    </r>
  </si>
  <si>
    <r>
      <t>Zwischenrunde 2:</t>
    </r>
    <r>
      <rPr>
        <sz val="10"/>
        <rFont val="Arial"/>
      </rPr>
      <t xml:space="preserve"> Sieger gg. Sieger, Verlierer gg. Verlierer der Zwischenrunde 1 </t>
    </r>
  </si>
  <si>
    <r>
      <t>Endrunde:</t>
    </r>
    <r>
      <rPr>
        <sz val="10"/>
        <rFont val="Arial"/>
      </rPr>
      <t xml:space="preserve"> Die Sieger der Zwischenrunde 2 spielen um die Plätze 1, 5, 9, 13 - die Verlierer um die Plätze 3, 7, 11 und 15.</t>
    </r>
  </si>
  <si>
    <r>
      <t>Vorrunde:</t>
    </r>
    <r>
      <rPr>
        <sz val="10"/>
        <rFont val="Arial"/>
        <family val="2"/>
      </rPr>
      <t xml:space="preserve"> 4 Gruppen zu 4 Mannschaften - jeder gegen jeden</t>
    </r>
  </si>
  <si>
    <t>Achtung:</t>
  </si>
  <si>
    <t>Nur gelb Markierte Felder sind für Eingaben vorgesehen.</t>
  </si>
  <si>
    <t>Eingaben in andere Felder zerstören mit großer Sicherheit Auswertungsfunktionen.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</si>
</sst>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6" x14ac:knownFonts="1">
    <font>
      <sz val="10"/>
      <name val="Arial"/>
    </font>
    <font>
      <b/>
      <sz val="12"/>
      <name val="Arial"/>
      <family val="2"/>
    </font>
    <font>
      <b/>
      <sz val="8"/>
      <color indexed="81"/>
      <name val="Tahoma"/>
    </font>
    <font>
      <b/>
      <sz val="16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0" fontId="0" fillId="2" borderId="3" xfId="0" applyNumberForma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20" fontId="0" fillId="2" borderId="1" xfId="0" applyNumberFormat="1" applyFill="1" applyBorder="1" applyAlignment="1">
      <alignment horizontal="center"/>
    </xf>
    <xf numFmtId="20" fontId="0" fillId="2" borderId="2" xfId="0" applyNumberFormat="1" applyFill="1" applyBorder="1" applyAlignment="1">
      <alignment horizontal="center"/>
    </xf>
    <xf numFmtId="0" fontId="0" fillId="2" borderId="6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8" xfId="0" applyFill="1" applyBorder="1"/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8" xfId="0" applyFill="1" applyBorder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/>
    <xf numFmtId="2" fontId="0" fillId="0" borderId="4" xfId="0" applyNumberFormat="1" applyFill="1" applyBorder="1"/>
    <xf numFmtId="164" fontId="0" fillId="0" borderId="3" xfId="0" applyNumberFormat="1" applyFill="1" applyBorder="1"/>
    <xf numFmtId="0" fontId="0" fillId="0" borderId="1" xfId="0" applyFill="1" applyBorder="1"/>
    <xf numFmtId="2" fontId="0" fillId="0" borderId="5" xfId="0" applyNumberFormat="1" applyFill="1" applyBorder="1"/>
    <xf numFmtId="0" fontId="0" fillId="0" borderId="15" xfId="0" applyFill="1" applyBorder="1"/>
    <xf numFmtId="0" fontId="0" fillId="0" borderId="2" xfId="0" applyFill="1" applyBorder="1"/>
    <xf numFmtId="2" fontId="0" fillId="0" borderId="6" xfId="0" applyNumberFormat="1" applyFill="1" applyBorder="1"/>
    <xf numFmtId="164" fontId="0" fillId="0" borderId="16" xfId="0" applyNumberFormat="1" applyFill="1" applyBorder="1"/>
    <xf numFmtId="0" fontId="0" fillId="3" borderId="7" xfId="0" applyFill="1" applyBorder="1" applyAlignment="1">
      <alignment horizontal="center"/>
    </xf>
    <xf numFmtId="0" fontId="0" fillId="3" borderId="4" xfId="0" applyFill="1" applyBorder="1"/>
    <xf numFmtId="0" fontId="0" fillId="3" borderId="8" xfId="0" applyFill="1" applyBorder="1" applyAlignment="1">
      <alignment horizontal="center"/>
    </xf>
    <xf numFmtId="0" fontId="0" fillId="3" borderId="1" xfId="0" applyFill="1" applyBorder="1"/>
    <xf numFmtId="0" fontId="0" fillId="3" borderId="5" xfId="0" applyFill="1" applyBorder="1"/>
    <xf numFmtId="0" fontId="0" fillId="3" borderId="0" xfId="0" applyFill="1"/>
    <xf numFmtId="0" fontId="0" fillId="0" borderId="8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0" xfId="0" applyFill="1"/>
    <xf numFmtId="0" fontId="0" fillId="3" borderId="12" xfId="0" applyFill="1" applyBorder="1" applyAlignment="1">
      <alignment wrapText="1"/>
    </xf>
    <xf numFmtId="0" fontId="0" fillId="3" borderId="13" xfId="0" applyFill="1" applyBorder="1" applyAlignment="1">
      <alignment horizontal="center" wrapText="1"/>
    </xf>
    <xf numFmtId="0" fontId="0" fillId="3" borderId="14" xfId="0" applyFill="1" applyBorder="1" applyAlignment="1">
      <alignment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2" borderId="0" xfId="0" applyFill="1" applyBorder="1"/>
    <xf numFmtId="0" fontId="0" fillId="0" borderId="0" xfId="0" applyBorder="1" applyAlignment="1">
      <alignment horizontal="center"/>
    </xf>
    <xf numFmtId="20" fontId="0" fillId="2" borderId="0" xfId="0" applyNumberFormat="1" applyFill="1" applyBorder="1" applyAlignment="1">
      <alignment horizontal="center"/>
    </xf>
    <xf numFmtId="0" fontId="5" fillId="0" borderId="0" xfId="0" applyFont="1"/>
    <xf numFmtId="0" fontId="5" fillId="2" borderId="0" xfId="0" applyFont="1" applyFill="1"/>
    <xf numFmtId="0" fontId="1" fillId="5" borderId="17" xfId="0" applyFont="1" applyFill="1" applyBorder="1" applyAlignment="1">
      <alignment horizontal="left"/>
    </xf>
    <xf numFmtId="0" fontId="0" fillId="5" borderId="17" xfId="0" applyFill="1" applyBorder="1" applyAlignment="1"/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24" xfId="0" applyFill="1" applyBorder="1" applyAlignment="1">
      <alignment horizontal="left"/>
    </xf>
    <xf numFmtId="0" fontId="0" fillId="2" borderId="25" xfId="0" applyFill="1" applyBorder="1" applyAlignment="1">
      <alignment horizontal="left"/>
    </xf>
    <xf numFmtId="0" fontId="0" fillId="2" borderId="26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0" fontId="1" fillId="5" borderId="18" xfId="0" applyFont="1" applyFill="1" applyBorder="1" applyAlignment="1">
      <alignment horizontal="left"/>
    </xf>
    <xf numFmtId="0" fontId="1" fillId="5" borderId="19" xfId="0" applyFont="1" applyFill="1" applyBorder="1" applyAlignment="1">
      <alignment horizontal="left"/>
    </xf>
    <xf numFmtId="0" fontId="1" fillId="5" borderId="20" xfId="0" applyFont="1" applyFill="1" applyBorder="1" applyAlignment="1">
      <alignment horizontal="left"/>
    </xf>
    <xf numFmtId="0" fontId="1" fillId="5" borderId="21" xfId="0" applyFont="1" applyFill="1" applyBorder="1" applyAlignment="1">
      <alignment horizontal="left"/>
    </xf>
    <xf numFmtId="0" fontId="1" fillId="5" borderId="22" xfId="0" applyFont="1" applyFill="1" applyBorder="1" applyAlignment="1">
      <alignment horizontal="left"/>
    </xf>
    <xf numFmtId="0" fontId="1" fillId="5" borderId="23" xfId="0" applyFont="1" applyFill="1" applyBorder="1" applyAlignment="1">
      <alignment horizontal="left"/>
    </xf>
    <xf numFmtId="0" fontId="0" fillId="5" borderId="22" xfId="0" applyFill="1" applyBorder="1" applyAlignment="1">
      <alignment horizontal="left"/>
    </xf>
    <xf numFmtId="0" fontId="0" fillId="5" borderId="23" xfId="0" applyFill="1" applyBorder="1" applyAlignment="1">
      <alignment horizontal="left"/>
    </xf>
    <xf numFmtId="0" fontId="3" fillId="5" borderId="18" xfId="0" applyFont="1" applyFill="1" applyBorder="1" applyAlignment="1">
      <alignment horizontal="left"/>
    </xf>
    <xf numFmtId="0" fontId="3" fillId="5" borderId="20" xfId="0" applyFont="1" applyFill="1" applyBorder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4</xdr:col>
          <xdr:colOff>428625</xdr:colOff>
          <xdr:row>24</xdr:row>
          <xdr:rowOff>28575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4</xdr:col>
          <xdr:colOff>428625</xdr:colOff>
          <xdr:row>24</xdr:row>
          <xdr:rowOff>28575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4</xdr:col>
          <xdr:colOff>428625</xdr:colOff>
          <xdr:row>24</xdr:row>
          <xdr:rowOff>28575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4</xdr:col>
          <xdr:colOff>428625</xdr:colOff>
          <xdr:row>24</xdr:row>
          <xdr:rowOff>28575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I21"/>
  <sheetViews>
    <sheetView tabSelected="1" workbookViewId="0">
      <selection activeCell="A2" sqref="A2:B2"/>
    </sheetView>
  </sheetViews>
  <sheetFormatPr baseColWidth="10" defaultRowHeight="12.75" x14ac:dyDescent="0.2"/>
  <cols>
    <col min="1" max="3" width="15.85546875" customWidth="1"/>
    <col min="4" max="4" width="13.42578125" bestFit="1" customWidth="1"/>
    <col min="5" max="5" width="10" customWidth="1"/>
    <col min="7" max="7" width="13.42578125" bestFit="1" customWidth="1"/>
    <col min="8" max="8" width="5.5703125" customWidth="1"/>
  </cols>
  <sheetData>
    <row r="1" spans="1:9" ht="16.5" thickBot="1" x14ac:dyDescent="0.3">
      <c r="A1" s="60" t="s">
        <v>19</v>
      </c>
      <c r="B1" s="60"/>
    </row>
    <row r="2" spans="1:9" ht="20.100000000000001" customHeight="1" x14ac:dyDescent="0.2">
      <c r="A2" s="64" t="s">
        <v>53</v>
      </c>
      <c r="B2" s="65"/>
    </row>
    <row r="3" spans="1:9" ht="20.100000000000001" customHeight="1" x14ac:dyDescent="0.2">
      <c r="A3" s="66" t="s">
        <v>54</v>
      </c>
      <c r="B3" s="67"/>
    </row>
    <row r="4" spans="1:9" ht="20.100000000000001" customHeight="1" x14ac:dyDescent="0.2">
      <c r="A4" s="66" t="s">
        <v>55</v>
      </c>
      <c r="B4" s="67"/>
    </row>
    <row r="5" spans="1:9" ht="20.100000000000001" customHeight="1" thickBot="1" x14ac:dyDescent="0.25">
      <c r="A5" s="62" t="s">
        <v>56</v>
      </c>
      <c r="B5" s="63"/>
    </row>
    <row r="7" spans="1:9" ht="16.5" thickBot="1" x14ac:dyDescent="0.3">
      <c r="A7" s="60" t="s">
        <v>1</v>
      </c>
      <c r="B7" s="61"/>
      <c r="C7" s="61"/>
      <c r="D7" s="61"/>
      <c r="E7" s="61"/>
      <c r="F7" s="61"/>
      <c r="G7" s="61"/>
      <c r="H7" s="61"/>
      <c r="I7" s="61"/>
    </row>
    <row r="8" spans="1:9" ht="20.100000000000001" customHeight="1" thickBot="1" x14ac:dyDescent="0.25">
      <c r="A8" s="23" t="s">
        <v>2</v>
      </c>
      <c r="B8" s="24" t="s">
        <v>3</v>
      </c>
      <c r="C8" s="24" t="s">
        <v>4</v>
      </c>
      <c r="D8" s="24" t="s">
        <v>5</v>
      </c>
      <c r="E8" s="24" t="s">
        <v>6</v>
      </c>
      <c r="F8" s="24" t="s">
        <v>7</v>
      </c>
      <c r="G8" s="24" t="s">
        <v>8</v>
      </c>
      <c r="H8" s="24" t="s">
        <v>9</v>
      </c>
      <c r="I8" s="25" t="s">
        <v>22</v>
      </c>
    </row>
    <row r="9" spans="1:9" ht="20.100000000000001" customHeight="1" x14ac:dyDescent="0.2">
      <c r="A9" s="26" t="str">
        <f>$A$2</f>
        <v>Erster A</v>
      </c>
      <c r="B9" s="27" t="str">
        <f>$A$3</f>
        <v>Zweiter A</v>
      </c>
      <c r="C9" s="27" t="str">
        <f>$A$5</f>
        <v>Vierter A</v>
      </c>
      <c r="D9" s="3">
        <v>0</v>
      </c>
      <c r="E9" s="3">
        <v>0</v>
      </c>
      <c r="F9" s="29">
        <f t="shared" ref="F9:F14" si="0">IF(D9&gt;E9,2,IF(D9=E9,1,0))</f>
        <v>1</v>
      </c>
      <c r="G9" s="29">
        <f t="shared" ref="G9:G14" si="1">IF(D9&lt;E9,2,IF(D9=E9,1,0))</f>
        <v>1</v>
      </c>
      <c r="H9" s="6">
        <v>0.39583333333333331</v>
      </c>
      <c r="I9" s="7"/>
    </row>
    <row r="10" spans="1:9" ht="20.100000000000001" customHeight="1" x14ac:dyDescent="0.2">
      <c r="A10" s="28" t="str">
        <f>$A$4</f>
        <v>Dritter A</v>
      </c>
      <c r="B10" s="27" t="str">
        <f>$A$5</f>
        <v>Vierter A</v>
      </c>
      <c r="C10" s="27" t="str">
        <f>$A$3</f>
        <v>Zweiter A</v>
      </c>
      <c r="D10" s="4">
        <v>0</v>
      </c>
      <c r="E10" s="4">
        <v>0</v>
      </c>
      <c r="F10" s="29">
        <f t="shared" si="0"/>
        <v>1</v>
      </c>
      <c r="G10" s="29">
        <f t="shared" si="1"/>
        <v>1</v>
      </c>
      <c r="H10" s="6">
        <v>0.41666666666666669</v>
      </c>
      <c r="I10" s="8"/>
    </row>
    <row r="11" spans="1:9" ht="20.100000000000001" customHeight="1" x14ac:dyDescent="0.2">
      <c r="A11" s="26" t="str">
        <f>$A$2</f>
        <v>Erster A</v>
      </c>
      <c r="B11" s="27" t="str">
        <f>$A$5</f>
        <v>Vierter A</v>
      </c>
      <c r="C11" s="28" t="str">
        <f>$A$4</f>
        <v>Dritter A</v>
      </c>
      <c r="D11" s="4">
        <v>0</v>
      </c>
      <c r="E11" s="4">
        <v>0</v>
      </c>
      <c r="F11" s="29">
        <f t="shared" si="0"/>
        <v>1</v>
      </c>
      <c r="G11" s="29">
        <f t="shared" si="1"/>
        <v>1</v>
      </c>
      <c r="H11" s="9">
        <v>0.4375</v>
      </c>
      <c r="I11" s="8"/>
    </row>
    <row r="12" spans="1:9" ht="20.100000000000001" customHeight="1" x14ac:dyDescent="0.2">
      <c r="A12" s="27" t="str">
        <f>$A$3</f>
        <v>Zweiter A</v>
      </c>
      <c r="B12" s="28" t="str">
        <f>$A$4</f>
        <v>Dritter A</v>
      </c>
      <c r="C12" s="26" t="str">
        <f>$A$2</f>
        <v>Erster A</v>
      </c>
      <c r="D12" s="4">
        <v>0</v>
      </c>
      <c r="E12" s="4">
        <v>0</v>
      </c>
      <c r="F12" s="29">
        <f t="shared" si="0"/>
        <v>1</v>
      </c>
      <c r="G12" s="29">
        <f t="shared" si="1"/>
        <v>1</v>
      </c>
      <c r="H12" s="9">
        <v>0.45833333333333331</v>
      </c>
      <c r="I12" s="8"/>
    </row>
    <row r="13" spans="1:9" ht="20.100000000000001" customHeight="1" x14ac:dyDescent="0.2">
      <c r="A13" s="27" t="str">
        <f>$A$3</f>
        <v>Zweiter A</v>
      </c>
      <c r="B13" s="27" t="str">
        <f>$A$5</f>
        <v>Vierter A</v>
      </c>
      <c r="C13" s="28" t="str">
        <f>$A$4</f>
        <v>Dritter A</v>
      </c>
      <c r="D13" s="4">
        <v>0</v>
      </c>
      <c r="E13" s="4">
        <v>0</v>
      </c>
      <c r="F13" s="29">
        <f t="shared" si="0"/>
        <v>1</v>
      </c>
      <c r="G13" s="29">
        <f t="shared" si="1"/>
        <v>1</v>
      </c>
      <c r="H13" s="9">
        <v>0.47916666666666669</v>
      </c>
      <c r="I13" s="8"/>
    </row>
    <row r="14" spans="1:9" ht="20.100000000000001" customHeight="1" thickBot="1" x14ac:dyDescent="0.25">
      <c r="A14" s="26" t="str">
        <f>$A$2</f>
        <v>Erster A</v>
      </c>
      <c r="B14" s="28" t="str">
        <f>$A$4</f>
        <v>Dritter A</v>
      </c>
      <c r="C14" s="27" t="str">
        <f>$A$3</f>
        <v>Zweiter A</v>
      </c>
      <c r="D14" s="5">
        <v>0</v>
      </c>
      <c r="E14" s="5">
        <v>0</v>
      </c>
      <c r="F14" s="30">
        <f t="shared" si="0"/>
        <v>1</v>
      </c>
      <c r="G14" s="30">
        <f t="shared" si="1"/>
        <v>1</v>
      </c>
      <c r="H14" s="10">
        <v>0.5</v>
      </c>
      <c r="I14" s="11"/>
    </row>
    <row r="16" spans="1:9" ht="16.5" thickBot="1" x14ac:dyDescent="0.3">
      <c r="A16" s="60" t="s">
        <v>0</v>
      </c>
      <c r="B16" s="61"/>
      <c r="C16" s="61"/>
      <c r="D16" s="61"/>
      <c r="E16" s="61"/>
      <c r="F16" s="61"/>
      <c r="G16" s="61"/>
    </row>
    <row r="17" spans="1:7" ht="20.100000000000001" customHeight="1" thickBot="1" x14ac:dyDescent="0.25">
      <c r="A17" s="31" t="s">
        <v>10</v>
      </c>
      <c r="B17" s="32" t="s">
        <v>11</v>
      </c>
      <c r="C17" s="32" t="s">
        <v>14</v>
      </c>
      <c r="D17" s="25" t="s">
        <v>17</v>
      </c>
      <c r="E17" s="32" t="s">
        <v>12</v>
      </c>
      <c r="F17" s="32" t="s">
        <v>13</v>
      </c>
      <c r="G17" s="32" t="s">
        <v>16</v>
      </c>
    </row>
    <row r="18" spans="1:7" ht="20.100000000000001" customHeight="1" x14ac:dyDescent="0.2">
      <c r="A18" s="26" t="str">
        <f>$A$2</f>
        <v>Erster A</v>
      </c>
      <c r="B18" s="27">
        <f>$F$9+$F$14+$F$11</f>
        <v>3</v>
      </c>
      <c r="C18" s="27">
        <f>$G$9+$G$11+$G$14</f>
        <v>3</v>
      </c>
      <c r="D18" s="33">
        <f>IF(C18=0,6,B18/C18)</f>
        <v>1</v>
      </c>
      <c r="E18" s="27">
        <f>$D$9+$D$14+$D$11</f>
        <v>0</v>
      </c>
      <c r="F18" s="27">
        <f>$E$9+$E$11+$E$14</f>
        <v>0</v>
      </c>
      <c r="G18" s="34">
        <f>IF(F18=0,100,E18/F18)</f>
        <v>100</v>
      </c>
    </row>
    <row r="19" spans="1:7" ht="20.100000000000001" customHeight="1" x14ac:dyDescent="0.2">
      <c r="A19" s="26" t="str">
        <f>$A$3</f>
        <v>Zweiter A</v>
      </c>
      <c r="B19" s="35">
        <f>$G$9+$F$13+$F$12</f>
        <v>3</v>
      </c>
      <c r="C19" s="35">
        <f>$F$9+$G$12+$G$13</f>
        <v>3</v>
      </c>
      <c r="D19" s="36">
        <f>IF(C19=0,6,B19/C19)</f>
        <v>1</v>
      </c>
      <c r="E19" s="35">
        <f>$E$9+$D$13+$D$12</f>
        <v>0</v>
      </c>
      <c r="F19" s="35">
        <f>$D$9+$E$12+$E$13</f>
        <v>0</v>
      </c>
      <c r="G19" s="34">
        <f>IF(F19=0,100,E19/F19)</f>
        <v>100</v>
      </c>
    </row>
    <row r="20" spans="1:7" ht="20.100000000000001" customHeight="1" x14ac:dyDescent="0.2">
      <c r="A20" s="26" t="str">
        <f>$A$4</f>
        <v>Dritter A</v>
      </c>
      <c r="B20" s="35">
        <f>$F$10+$G$14+$G$12</f>
        <v>3</v>
      </c>
      <c r="C20" s="35">
        <f>$G$10+$F$12+$F$14</f>
        <v>3</v>
      </c>
      <c r="D20" s="36">
        <f>IF(C20=0,6,B20/C20)</f>
        <v>1</v>
      </c>
      <c r="E20" s="35">
        <f>$D$10+$E$14+$E$12</f>
        <v>0</v>
      </c>
      <c r="F20" s="35">
        <f>$E$10+$D$12+$D$14</f>
        <v>0</v>
      </c>
      <c r="G20" s="34">
        <f>IF(F20=0,100,E20/F20)</f>
        <v>100</v>
      </c>
    </row>
    <row r="21" spans="1:7" ht="20.100000000000001" customHeight="1" thickBot="1" x14ac:dyDescent="0.25">
      <c r="A21" s="37" t="str">
        <f>$A$5</f>
        <v>Vierter A</v>
      </c>
      <c r="B21" s="38">
        <f>$G$10+$G$13+$G$11</f>
        <v>3</v>
      </c>
      <c r="C21" s="38">
        <f>$F$10+$F$11+$F$13</f>
        <v>3</v>
      </c>
      <c r="D21" s="39">
        <f>IF(C21=0,6,B21/C21)</f>
        <v>1</v>
      </c>
      <c r="E21" s="38">
        <f>$E$10+$E$13+$E$11</f>
        <v>0</v>
      </c>
      <c r="F21" s="38">
        <f>$D$10+$D$11+$D$13</f>
        <v>0</v>
      </c>
      <c r="G21" s="40">
        <f>IF(F21=0,100,E21/F21)</f>
        <v>100</v>
      </c>
    </row>
  </sheetData>
  <mergeCells count="7">
    <mergeCell ref="A7:I7"/>
    <mergeCell ref="A16:G16"/>
    <mergeCell ref="A5:B5"/>
    <mergeCell ref="A1:B1"/>
    <mergeCell ref="A2:B2"/>
    <mergeCell ref="A3:B3"/>
    <mergeCell ref="A4:B4"/>
  </mergeCells>
  <pageMargins left="0.78740157499999996" right="0.78740157499999996" top="0.984251969" bottom="0.984251969" header="0.4921259845" footer="0.4921259845"/>
  <pageSetup paperSize="9" orientation="landscape" horizontalDpi="300" verticalDpi="0" r:id="rId1"/>
  <headerFooter alignWithMargins="0">
    <oddHeader>&amp;C&amp;A / Endrunde</oddHeader>
  </headerFooter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autoPict="0" r:id="rId5">
            <anchor moveWithCells="1">
              <from>
                <xdr:col>0</xdr:col>
                <xdr:colOff>9525</xdr:colOff>
                <xdr:row>22</xdr:row>
                <xdr:rowOff>9525</xdr:rowOff>
              </from>
              <to>
                <xdr:col>4</xdr:col>
                <xdr:colOff>428625</xdr:colOff>
                <xdr:row>24</xdr:row>
                <xdr:rowOff>28575</xdr:rowOff>
              </to>
            </anchor>
          </controlPr>
        </control>
      </mc:Choice>
      <mc:Fallback>
        <control shapeId="103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pageSetUpPr fitToPage="1"/>
  </sheetPr>
  <dimension ref="A1:I21"/>
  <sheetViews>
    <sheetView workbookViewId="0">
      <selection sqref="A1:J1"/>
    </sheetView>
  </sheetViews>
  <sheetFormatPr baseColWidth="10" defaultRowHeight="12.75" x14ac:dyDescent="0.2"/>
  <cols>
    <col min="1" max="3" width="15.85546875" customWidth="1"/>
    <col min="4" max="4" width="13.42578125" bestFit="1" customWidth="1"/>
    <col min="5" max="5" width="10" customWidth="1"/>
    <col min="7" max="7" width="13.42578125" bestFit="1" customWidth="1"/>
    <col min="8" max="8" width="5.5703125" customWidth="1"/>
  </cols>
  <sheetData>
    <row r="1" spans="1:9" ht="16.5" thickBot="1" x14ac:dyDescent="0.3">
      <c r="A1" s="60" t="s">
        <v>18</v>
      </c>
      <c r="B1" s="60"/>
    </row>
    <row r="2" spans="1:9" ht="20.100000000000001" customHeight="1" x14ac:dyDescent="0.2">
      <c r="A2" s="64" t="s">
        <v>57</v>
      </c>
      <c r="B2" s="65"/>
    </row>
    <row r="3" spans="1:9" ht="20.100000000000001" customHeight="1" x14ac:dyDescent="0.2">
      <c r="A3" s="66" t="s">
        <v>58</v>
      </c>
      <c r="B3" s="67"/>
    </row>
    <row r="4" spans="1:9" ht="20.100000000000001" customHeight="1" x14ac:dyDescent="0.2">
      <c r="A4" s="66" t="s">
        <v>59</v>
      </c>
      <c r="B4" s="67"/>
    </row>
    <row r="5" spans="1:9" ht="20.100000000000001" customHeight="1" thickBot="1" x14ac:dyDescent="0.25">
      <c r="A5" s="62" t="s">
        <v>60</v>
      </c>
      <c r="B5" s="63"/>
    </row>
    <row r="7" spans="1:9" ht="16.5" thickBot="1" x14ac:dyDescent="0.3">
      <c r="A7" s="60" t="s">
        <v>1</v>
      </c>
      <c r="B7" s="61"/>
      <c r="C7" s="61"/>
      <c r="D7" s="61"/>
      <c r="E7" s="61"/>
      <c r="F7" s="61"/>
      <c r="G7" s="61"/>
      <c r="H7" s="61"/>
      <c r="I7" s="61"/>
    </row>
    <row r="8" spans="1:9" ht="20.100000000000001" customHeight="1" thickBot="1" x14ac:dyDescent="0.25">
      <c r="A8" s="23" t="s">
        <v>2</v>
      </c>
      <c r="B8" s="24" t="s">
        <v>3</v>
      </c>
      <c r="C8" s="24" t="s">
        <v>4</v>
      </c>
      <c r="D8" s="24" t="s">
        <v>5</v>
      </c>
      <c r="E8" s="24" t="s">
        <v>6</v>
      </c>
      <c r="F8" s="24" t="s">
        <v>7</v>
      </c>
      <c r="G8" s="24" t="s">
        <v>8</v>
      </c>
      <c r="H8" s="24" t="s">
        <v>9</v>
      </c>
      <c r="I8" s="25" t="s">
        <v>22</v>
      </c>
    </row>
    <row r="9" spans="1:9" ht="20.100000000000001" customHeight="1" x14ac:dyDescent="0.2">
      <c r="A9" s="26" t="str">
        <f>$A$2</f>
        <v>Erster B</v>
      </c>
      <c r="B9" s="27" t="str">
        <f>$A$3</f>
        <v>Zweiter B</v>
      </c>
      <c r="C9" s="27" t="str">
        <f>$A$5</f>
        <v>Vierter B</v>
      </c>
      <c r="D9" s="3">
        <v>0</v>
      </c>
      <c r="E9" s="3">
        <v>0</v>
      </c>
      <c r="F9" s="29">
        <f t="shared" ref="F9:F14" si="0">IF(D9&gt;E9,2,IF(D9=E9,1,0))</f>
        <v>1</v>
      </c>
      <c r="G9" s="29">
        <f t="shared" ref="G9:G14" si="1">IF(D9&lt;E9,2,IF(D9=E9,1,0))</f>
        <v>1</v>
      </c>
      <c r="H9" s="6">
        <v>0.39583333333333331</v>
      </c>
      <c r="I9" s="7"/>
    </row>
    <row r="10" spans="1:9" ht="20.100000000000001" customHeight="1" x14ac:dyDescent="0.2">
      <c r="A10" s="28" t="str">
        <f>$A$4</f>
        <v>Dritter B</v>
      </c>
      <c r="B10" s="27" t="str">
        <f>$A$5</f>
        <v>Vierter B</v>
      </c>
      <c r="C10" s="27" t="str">
        <f>$A$3</f>
        <v>Zweiter B</v>
      </c>
      <c r="D10" s="4">
        <v>0</v>
      </c>
      <c r="E10" s="4">
        <v>0</v>
      </c>
      <c r="F10" s="29">
        <f t="shared" si="0"/>
        <v>1</v>
      </c>
      <c r="G10" s="29">
        <f t="shared" si="1"/>
        <v>1</v>
      </c>
      <c r="H10" s="6">
        <v>0.41666666666666669</v>
      </c>
      <c r="I10" s="8"/>
    </row>
    <row r="11" spans="1:9" ht="20.100000000000001" customHeight="1" x14ac:dyDescent="0.2">
      <c r="A11" s="26" t="str">
        <f>$A$2</f>
        <v>Erster B</v>
      </c>
      <c r="B11" s="27" t="str">
        <f>$A$5</f>
        <v>Vierter B</v>
      </c>
      <c r="C11" s="28" t="str">
        <f>$A$4</f>
        <v>Dritter B</v>
      </c>
      <c r="D11" s="4">
        <v>0</v>
      </c>
      <c r="E11" s="4">
        <v>0</v>
      </c>
      <c r="F11" s="29">
        <f t="shared" si="0"/>
        <v>1</v>
      </c>
      <c r="G11" s="29">
        <f t="shared" si="1"/>
        <v>1</v>
      </c>
      <c r="H11" s="9">
        <v>0.4375</v>
      </c>
      <c r="I11" s="8"/>
    </row>
    <row r="12" spans="1:9" ht="20.100000000000001" customHeight="1" x14ac:dyDescent="0.2">
      <c r="A12" s="27" t="str">
        <f>$A$3</f>
        <v>Zweiter B</v>
      </c>
      <c r="B12" s="28" t="str">
        <f>$A$4</f>
        <v>Dritter B</v>
      </c>
      <c r="C12" s="26" t="str">
        <f>$A$2</f>
        <v>Erster B</v>
      </c>
      <c r="D12" s="4">
        <v>0</v>
      </c>
      <c r="E12" s="4">
        <v>0</v>
      </c>
      <c r="F12" s="29">
        <f t="shared" si="0"/>
        <v>1</v>
      </c>
      <c r="G12" s="29">
        <f t="shared" si="1"/>
        <v>1</v>
      </c>
      <c r="H12" s="9">
        <v>0.45833333333333331</v>
      </c>
      <c r="I12" s="8"/>
    </row>
    <row r="13" spans="1:9" ht="20.100000000000001" customHeight="1" x14ac:dyDescent="0.2">
      <c r="A13" s="27" t="str">
        <f>$A$3</f>
        <v>Zweiter B</v>
      </c>
      <c r="B13" s="27" t="str">
        <f>$A$5</f>
        <v>Vierter B</v>
      </c>
      <c r="C13" s="28" t="str">
        <f>$A$4</f>
        <v>Dritter B</v>
      </c>
      <c r="D13" s="4">
        <v>0</v>
      </c>
      <c r="E13" s="4">
        <v>0</v>
      </c>
      <c r="F13" s="29">
        <f t="shared" si="0"/>
        <v>1</v>
      </c>
      <c r="G13" s="29">
        <f t="shared" si="1"/>
        <v>1</v>
      </c>
      <c r="H13" s="9">
        <v>0.47916666666666669</v>
      </c>
      <c r="I13" s="8"/>
    </row>
    <row r="14" spans="1:9" ht="20.100000000000001" customHeight="1" thickBot="1" x14ac:dyDescent="0.25">
      <c r="A14" s="26" t="str">
        <f>$A$2</f>
        <v>Erster B</v>
      </c>
      <c r="B14" s="28" t="str">
        <f>$A$4</f>
        <v>Dritter B</v>
      </c>
      <c r="C14" s="27" t="str">
        <f>$A$3</f>
        <v>Zweiter B</v>
      </c>
      <c r="D14" s="5">
        <v>0</v>
      </c>
      <c r="E14" s="5">
        <v>0</v>
      </c>
      <c r="F14" s="30">
        <f t="shared" si="0"/>
        <v>1</v>
      </c>
      <c r="G14" s="30">
        <f t="shared" si="1"/>
        <v>1</v>
      </c>
      <c r="H14" s="10">
        <v>0.5</v>
      </c>
      <c r="I14" s="11"/>
    </row>
    <row r="16" spans="1:9" ht="16.5" thickBot="1" x14ac:dyDescent="0.3">
      <c r="A16" s="60" t="s">
        <v>0</v>
      </c>
      <c r="B16" s="61"/>
      <c r="C16" s="61"/>
      <c r="D16" s="61"/>
      <c r="E16" s="61"/>
      <c r="F16" s="61"/>
      <c r="G16" s="61"/>
    </row>
    <row r="17" spans="1:7" ht="20.100000000000001" customHeight="1" thickBot="1" x14ac:dyDescent="0.25">
      <c r="A17" s="31" t="s">
        <v>10</v>
      </c>
      <c r="B17" s="32" t="s">
        <v>11</v>
      </c>
      <c r="C17" s="32" t="s">
        <v>14</v>
      </c>
      <c r="D17" s="25" t="s">
        <v>17</v>
      </c>
      <c r="E17" s="32" t="s">
        <v>12</v>
      </c>
      <c r="F17" s="32" t="s">
        <v>13</v>
      </c>
      <c r="G17" s="32" t="s">
        <v>16</v>
      </c>
    </row>
    <row r="18" spans="1:7" ht="20.100000000000001" customHeight="1" x14ac:dyDescent="0.2">
      <c r="A18" s="26" t="str">
        <f>$A$2</f>
        <v>Erster B</v>
      </c>
      <c r="B18" s="27">
        <f>$F$9+$F$14+$F$11</f>
        <v>3</v>
      </c>
      <c r="C18" s="27">
        <f>$G$9+$G$11+$G$14</f>
        <v>3</v>
      </c>
      <c r="D18" s="33">
        <f>IF(C18=0,6,B18/C18)</f>
        <v>1</v>
      </c>
      <c r="E18" s="27">
        <f>$D$9+$D$14+$D$11</f>
        <v>0</v>
      </c>
      <c r="F18" s="27">
        <f>$E$9+$E$11+$E$14</f>
        <v>0</v>
      </c>
      <c r="G18" s="34">
        <f>IF(F18=0,100,E18/F18)</f>
        <v>100</v>
      </c>
    </row>
    <row r="19" spans="1:7" ht="20.100000000000001" customHeight="1" x14ac:dyDescent="0.2">
      <c r="A19" s="26" t="str">
        <f>$A$3</f>
        <v>Zweiter B</v>
      </c>
      <c r="B19" s="35">
        <f>$G$9+$F$13+$F$12</f>
        <v>3</v>
      </c>
      <c r="C19" s="35">
        <f>$F$9+$G$12+$G$13</f>
        <v>3</v>
      </c>
      <c r="D19" s="36">
        <f>IF(C19=0,6,B19/C19)</f>
        <v>1</v>
      </c>
      <c r="E19" s="35">
        <f>$E$9+$D$13+$D$12</f>
        <v>0</v>
      </c>
      <c r="F19" s="35">
        <f>$D$9+$E$12+$E$13</f>
        <v>0</v>
      </c>
      <c r="G19" s="34">
        <f>IF(F19=0,100,E19/F19)</f>
        <v>100</v>
      </c>
    </row>
    <row r="20" spans="1:7" ht="20.100000000000001" customHeight="1" x14ac:dyDescent="0.2">
      <c r="A20" s="26" t="str">
        <f>$A$4</f>
        <v>Dritter B</v>
      </c>
      <c r="B20" s="35">
        <f>$F$10+$G$14+$G$12</f>
        <v>3</v>
      </c>
      <c r="C20" s="35">
        <f>$G$10+$F$12+$F$14</f>
        <v>3</v>
      </c>
      <c r="D20" s="36">
        <f>IF(C20=0,6,B20/C20)</f>
        <v>1</v>
      </c>
      <c r="E20" s="35">
        <f>$D$10+$E$14+$E$12</f>
        <v>0</v>
      </c>
      <c r="F20" s="35">
        <f>$E$10+$D$12+$D$14</f>
        <v>0</v>
      </c>
      <c r="G20" s="34">
        <f>IF(F20=0,100,E20/F20)</f>
        <v>100</v>
      </c>
    </row>
    <row r="21" spans="1:7" ht="20.100000000000001" customHeight="1" thickBot="1" x14ac:dyDescent="0.25">
      <c r="A21" s="37" t="str">
        <f>$A$5</f>
        <v>Vierter B</v>
      </c>
      <c r="B21" s="38">
        <f>$G$10+$G$13+$G$11</f>
        <v>3</v>
      </c>
      <c r="C21" s="38">
        <f>$F$10+$F$11+$F$13</f>
        <v>3</v>
      </c>
      <c r="D21" s="39">
        <f>IF(C21=0,6,B21/C21)</f>
        <v>1</v>
      </c>
      <c r="E21" s="38">
        <f>$E$10+$E$13+$E$11</f>
        <v>0</v>
      </c>
      <c r="F21" s="38">
        <f>$D$10+$D$11+$D$13</f>
        <v>0</v>
      </c>
      <c r="G21" s="40">
        <f>IF(F21=0,100,E21/F21)</f>
        <v>100</v>
      </c>
    </row>
  </sheetData>
  <mergeCells count="7">
    <mergeCell ref="A7:I7"/>
    <mergeCell ref="A16:G16"/>
    <mergeCell ref="A5:B5"/>
    <mergeCell ref="A1:B1"/>
    <mergeCell ref="A2:B2"/>
    <mergeCell ref="A3:B3"/>
    <mergeCell ref="A4:B4"/>
  </mergeCells>
  <pageMargins left="0.78740157499999996" right="0.78740157499999996" top="0.984251969" bottom="0.984251969" header="0.4921259845" footer="0.4921259845"/>
  <pageSetup paperSize="9" orientation="landscape" horizontalDpi="300" verticalDpi="0" r:id="rId1"/>
  <headerFooter alignWithMargins="0">
    <oddHeader>&amp;C&amp;A / Endrunde</oddHeader>
  </headerFooter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autoPict="0" r:id="rId5">
            <anchor moveWithCells="1">
              <from>
                <xdr:col>0</xdr:col>
                <xdr:colOff>9525</xdr:colOff>
                <xdr:row>22</xdr:row>
                <xdr:rowOff>9525</xdr:rowOff>
              </from>
              <to>
                <xdr:col>4</xdr:col>
                <xdr:colOff>428625</xdr:colOff>
                <xdr:row>24</xdr:row>
                <xdr:rowOff>28575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1">
    <pageSetUpPr fitToPage="1"/>
  </sheetPr>
  <dimension ref="A1:I21"/>
  <sheetViews>
    <sheetView workbookViewId="0">
      <selection sqref="A1:J1"/>
    </sheetView>
  </sheetViews>
  <sheetFormatPr baseColWidth="10" defaultRowHeight="12.75" x14ac:dyDescent="0.2"/>
  <cols>
    <col min="1" max="3" width="15.85546875" customWidth="1"/>
    <col min="4" max="4" width="13.42578125" bestFit="1" customWidth="1"/>
    <col min="5" max="5" width="10" customWidth="1"/>
    <col min="7" max="7" width="13.42578125" bestFit="1" customWidth="1"/>
    <col min="8" max="8" width="5.5703125" customWidth="1"/>
  </cols>
  <sheetData>
    <row r="1" spans="1:9" ht="16.5" thickBot="1" x14ac:dyDescent="0.3">
      <c r="A1" s="60" t="s">
        <v>20</v>
      </c>
      <c r="B1" s="60"/>
    </row>
    <row r="2" spans="1:9" ht="20.100000000000001" customHeight="1" x14ac:dyDescent="0.2">
      <c r="A2" s="64" t="s">
        <v>61</v>
      </c>
      <c r="B2" s="65"/>
    </row>
    <row r="3" spans="1:9" ht="20.100000000000001" customHeight="1" x14ac:dyDescent="0.2">
      <c r="A3" s="66" t="s">
        <v>62</v>
      </c>
      <c r="B3" s="67"/>
    </row>
    <row r="4" spans="1:9" ht="20.100000000000001" customHeight="1" x14ac:dyDescent="0.2">
      <c r="A4" s="66" t="s">
        <v>63</v>
      </c>
      <c r="B4" s="67"/>
    </row>
    <row r="5" spans="1:9" ht="20.100000000000001" customHeight="1" thickBot="1" x14ac:dyDescent="0.25">
      <c r="A5" s="62" t="s">
        <v>64</v>
      </c>
      <c r="B5" s="63"/>
    </row>
    <row r="7" spans="1:9" ht="16.5" thickBot="1" x14ac:dyDescent="0.3">
      <c r="A7" s="60" t="s">
        <v>1</v>
      </c>
      <c r="B7" s="61"/>
      <c r="C7" s="61"/>
      <c r="D7" s="61"/>
      <c r="E7" s="61"/>
      <c r="F7" s="61"/>
      <c r="G7" s="61"/>
      <c r="H7" s="61"/>
      <c r="I7" s="61"/>
    </row>
    <row r="8" spans="1:9" ht="20.100000000000001" customHeight="1" thickBot="1" x14ac:dyDescent="0.25">
      <c r="A8" s="23" t="s">
        <v>2</v>
      </c>
      <c r="B8" s="24" t="s">
        <v>3</v>
      </c>
      <c r="C8" s="24" t="s">
        <v>4</v>
      </c>
      <c r="D8" s="24" t="s">
        <v>5</v>
      </c>
      <c r="E8" s="24" t="s">
        <v>6</v>
      </c>
      <c r="F8" s="24" t="s">
        <v>7</v>
      </c>
      <c r="G8" s="24" t="s">
        <v>8</v>
      </c>
      <c r="H8" s="24" t="s">
        <v>9</v>
      </c>
      <c r="I8" s="25" t="s">
        <v>22</v>
      </c>
    </row>
    <row r="9" spans="1:9" ht="20.100000000000001" customHeight="1" x14ac:dyDescent="0.2">
      <c r="A9" s="26" t="str">
        <f>$A$2</f>
        <v>Erster C</v>
      </c>
      <c r="B9" s="27" t="str">
        <f>$A$3</f>
        <v>Zweiter C</v>
      </c>
      <c r="C9" s="27" t="str">
        <f>$A$5</f>
        <v>Vierter C</v>
      </c>
      <c r="D9" s="3">
        <v>0</v>
      </c>
      <c r="E9" s="3">
        <v>0</v>
      </c>
      <c r="F9" s="29">
        <f t="shared" ref="F9:F14" si="0">IF(D9&gt;E9,2,IF(D9=E9,1,0))</f>
        <v>1</v>
      </c>
      <c r="G9" s="29">
        <f t="shared" ref="G9:G14" si="1">IF(D9&lt;E9,2,IF(D9=E9,1,0))</f>
        <v>1</v>
      </c>
      <c r="H9" s="6">
        <v>0.39583333333333331</v>
      </c>
      <c r="I9" s="7"/>
    </row>
    <row r="10" spans="1:9" ht="20.100000000000001" customHeight="1" x14ac:dyDescent="0.2">
      <c r="A10" s="28" t="str">
        <f>$A$4</f>
        <v>Dritter C</v>
      </c>
      <c r="B10" s="27" t="str">
        <f>$A$5</f>
        <v>Vierter C</v>
      </c>
      <c r="C10" s="27" t="str">
        <f>$A$3</f>
        <v>Zweiter C</v>
      </c>
      <c r="D10" s="4">
        <v>0</v>
      </c>
      <c r="E10" s="4">
        <v>0</v>
      </c>
      <c r="F10" s="29">
        <f t="shared" si="0"/>
        <v>1</v>
      </c>
      <c r="G10" s="29">
        <f t="shared" si="1"/>
        <v>1</v>
      </c>
      <c r="H10" s="6">
        <v>0.41666666666666669</v>
      </c>
      <c r="I10" s="8"/>
    </row>
    <row r="11" spans="1:9" ht="20.100000000000001" customHeight="1" x14ac:dyDescent="0.2">
      <c r="A11" s="26" t="str">
        <f>$A$2</f>
        <v>Erster C</v>
      </c>
      <c r="B11" s="27" t="str">
        <f>$A$5</f>
        <v>Vierter C</v>
      </c>
      <c r="C11" s="28" t="str">
        <f>$A$4</f>
        <v>Dritter C</v>
      </c>
      <c r="D11" s="4">
        <v>0</v>
      </c>
      <c r="E11" s="4">
        <v>0</v>
      </c>
      <c r="F11" s="29">
        <f t="shared" si="0"/>
        <v>1</v>
      </c>
      <c r="G11" s="29">
        <f t="shared" si="1"/>
        <v>1</v>
      </c>
      <c r="H11" s="9">
        <v>0.4375</v>
      </c>
      <c r="I11" s="8"/>
    </row>
    <row r="12" spans="1:9" ht="20.100000000000001" customHeight="1" x14ac:dyDescent="0.2">
      <c r="A12" s="27" t="str">
        <f>$A$3</f>
        <v>Zweiter C</v>
      </c>
      <c r="B12" s="28" t="str">
        <f>$A$4</f>
        <v>Dritter C</v>
      </c>
      <c r="C12" s="26" t="str">
        <f>$A$2</f>
        <v>Erster C</v>
      </c>
      <c r="D12" s="4">
        <v>0</v>
      </c>
      <c r="E12" s="4">
        <v>0</v>
      </c>
      <c r="F12" s="29">
        <f t="shared" si="0"/>
        <v>1</v>
      </c>
      <c r="G12" s="29">
        <f t="shared" si="1"/>
        <v>1</v>
      </c>
      <c r="H12" s="9">
        <v>0.45833333333333331</v>
      </c>
      <c r="I12" s="8"/>
    </row>
    <row r="13" spans="1:9" ht="20.100000000000001" customHeight="1" x14ac:dyDescent="0.2">
      <c r="A13" s="27" t="str">
        <f>$A$3</f>
        <v>Zweiter C</v>
      </c>
      <c r="B13" s="27" t="str">
        <f>$A$5</f>
        <v>Vierter C</v>
      </c>
      <c r="C13" s="28" t="str">
        <f>$A$4</f>
        <v>Dritter C</v>
      </c>
      <c r="D13" s="4">
        <v>0</v>
      </c>
      <c r="E13" s="4">
        <v>0</v>
      </c>
      <c r="F13" s="29">
        <f t="shared" si="0"/>
        <v>1</v>
      </c>
      <c r="G13" s="29">
        <f t="shared" si="1"/>
        <v>1</v>
      </c>
      <c r="H13" s="9">
        <v>0.47916666666666669</v>
      </c>
      <c r="I13" s="8"/>
    </row>
    <row r="14" spans="1:9" ht="20.100000000000001" customHeight="1" thickBot="1" x14ac:dyDescent="0.25">
      <c r="A14" s="26" t="str">
        <f>$A$2</f>
        <v>Erster C</v>
      </c>
      <c r="B14" s="28" t="str">
        <f>$A$4</f>
        <v>Dritter C</v>
      </c>
      <c r="C14" s="27" t="str">
        <f>$A$3</f>
        <v>Zweiter C</v>
      </c>
      <c r="D14" s="5">
        <v>0</v>
      </c>
      <c r="E14" s="5">
        <v>0</v>
      </c>
      <c r="F14" s="30">
        <f t="shared" si="0"/>
        <v>1</v>
      </c>
      <c r="G14" s="30">
        <f t="shared" si="1"/>
        <v>1</v>
      </c>
      <c r="H14" s="10">
        <v>0.5</v>
      </c>
      <c r="I14" s="11"/>
    </row>
    <row r="16" spans="1:9" ht="16.5" thickBot="1" x14ac:dyDescent="0.3">
      <c r="A16" s="60" t="s">
        <v>0</v>
      </c>
      <c r="B16" s="61"/>
      <c r="C16" s="61"/>
      <c r="D16" s="61"/>
      <c r="E16" s="61"/>
      <c r="F16" s="61"/>
      <c r="G16" s="61"/>
    </row>
    <row r="17" spans="1:7" ht="20.100000000000001" customHeight="1" thickBot="1" x14ac:dyDescent="0.25">
      <c r="A17" s="31" t="s">
        <v>10</v>
      </c>
      <c r="B17" s="32" t="s">
        <v>11</v>
      </c>
      <c r="C17" s="32" t="s">
        <v>14</v>
      </c>
      <c r="D17" s="25" t="s">
        <v>17</v>
      </c>
      <c r="E17" s="32" t="s">
        <v>12</v>
      </c>
      <c r="F17" s="32" t="s">
        <v>13</v>
      </c>
      <c r="G17" s="32" t="s">
        <v>16</v>
      </c>
    </row>
    <row r="18" spans="1:7" ht="20.100000000000001" customHeight="1" x14ac:dyDescent="0.2">
      <c r="A18" s="26" t="str">
        <f>$A$2</f>
        <v>Erster C</v>
      </c>
      <c r="B18" s="27">
        <f>$F$9+$F$14+$F$11</f>
        <v>3</v>
      </c>
      <c r="C18" s="27">
        <f>$G$9+$G$11+$G$14</f>
        <v>3</v>
      </c>
      <c r="D18" s="33">
        <f>IF(C18=0,6,B18/C18)</f>
        <v>1</v>
      </c>
      <c r="E18" s="27">
        <f>$D$9+$D$14+$D$11</f>
        <v>0</v>
      </c>
      <c r="F18" s="27">
        <f>$E$9+$E$11+$E$14</f>
        <v>0</v>
      </c>
      <c r="G18" s="34">
        <f>IF(F18=0,100,E18/F18)</f>
        <v>100</v>
      </c>
    </row>
    <row r="19" spans="1:7" ht="20.100000000000001" customHeight="1" x14ac:dyDescent="0.2">
      <c r="A19" s="26" t="str">
        <f>$A$3</f>
        <v>Zweiter C</v>
      </c>
      <c r="B19" s="35">
        <f>$G$9+$F$13+$F$12</f>
        <v>3</v>
      </c>
      <c r="C19" s="35">
        <f>$F$9+$G$12+$G$13</f>
        <v>3</v>
      </c>
      <c r="D19" s="36">
        <f>IF(C19=0,6,B19/C19)</f>
        <v>1</v>
      </c>
      <c r="E19" s="35">
        <f>$E$9+$D$13+$D$12</f>
        <v>0</v>
      </c>
      <c r="F19" s="35">
        <f>$D$9+$E$12+$E$13</f>
        <v>0</v>
      </c>
      <c r="G19" s="34">
        <f>IF(F19=0,100,E19/F19)</f>
        <v>100</v>
      </c>
    </row>
    <row r="20" spans="1:7" ht="20.100000000000001" customHeight="1" x14ac:dyDescent="0.2">
      <c r="A20" s="26" t="str">
        <f>$A$4</f>
        <v>Dritter C</v>
      </c>
      <c r="B20" s="35">
        <f>$F$10+$G$14+$G$12</f>
        <v>3</v>
      </c>
      <c r="C20" s="35">
        <f>$G$10+$F$12+$F$14</f>
        <v>3</v>
      </c>
      <c r="D20" s="36">
        <f>IF(C20=0,6,B20/C20)</f>
        <v>1</v>
      </c>
      <c r="E20" s="35">
        <f>$D$10+$E$14+$E$12</f>
        <v>0</v>
      </c>
      <c r="F20" s="35">
        <f>$E$10+$D$12+$D$14</f>
        <v>0</v>
      </c>
      <c r="G20" s="34">
        <f>IF(F20=0,100,E20/F20)</f>
        <v>100</v>
      </c>
    </row>
    <row r="21" spans="1:7" ht="20.100000000000001" customHeight="1" thickBot="1" x14ac:dyDescent="0.25">
      <c r="A21" s="37" t="str">
        <f>$A$5</f>
        <v>Vierter C</v>
      </c>
      <c r="B21" s="38">
        <f>$G$10+$G$13+$G$11</f>
        <v>3</v>
      </c>
      <c r="C21" s="38">
        <f>$F$10+$F$11+$F$13</f>
        <v>3</v>
      </c>
      <c r="D21" s="39">
        <f>IF(C21=0,6,B21/C21)</f>
        <v>1</v>
      </c>
      <c r="E21" s="38">
        <f>$E$10+$E$13+$E$11</f>
        <v>0</v>
      </c>
      <c r="F21" s="38">
        <f>$D$10+$D$11+$D$13</f>
        <v>0</v>
      </c>
      <c r="G21" s="40">
        <f>IF(F21=0,100,E21/F21)</f>
        <v>100</v>
      </c>
    </row>
  </sheetData>
  <mergeCells count="7">
    <mergeCell ref="A7:I7"/>
    <mergeCell ref="A16:G16"/>
    <mergeCell ref="A5:B5"/>
    <mergeCell ref="A1:B1"/>
    <mergeCell ref="A2:B2"/>
    <mergeCell ref="A3:B3"/>
    <mergeCell ref="A4:B4"/>
  </mergeCells>
  <pageMargins left="0.78740157499999996" right="0.78740157499999996" top="0.984251969" bottom="0.984251969" header="0.4921259845" footer="0.4921259845"/>
  <pageSetup paperSize="9" orientation="landscape" horizontalDpi="300" verticalDpi="0" r:id="rId1"/>
  <headerFooter alignWithMargins="0">
    <oddHeader>&amp;C&amp;A / Endrunde</oddHeader>
  </headerFooter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autoPict="0" r:id="rId5">
            <anchor moveWithCells="1">
              <from>
                <xdr:col>0</xdr:col>
                <xdr:colOff>9525</xdr:colOff>
                <xdr:row>22</xdr:row>
                <xdr:rowOff>9525</xdr:rowOff>
              </from>
              <to>
                <xdr:col>4</xdr:col>
                <xdr:colOff>428625</xdr:colOff>
                <xdr:row>24</xdr:row>
                <xdr:rowOff>28575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11">
    <pageSetUpPr fitToPage="1"/>
  </sheetPr>
  <dimension ref="A1:I21"/>
  <sheetViews>
    <sheetView workbookViewId="0">
      <selection sqref="A1:J1"/>
    </sheetView>
  </sheetViews>
  <sheetFormatPr baseColWidth="10" defaultRowHeight="12.75" x14ac:dyDescent="0.2"/>
  <cols>
    <col min="1" max="3" width="15.85546875" customWidth="1"/>
    <col min="4" max="4" width="13.42578125" bestFit="1" customWidth="1"/>
    <col min="5" max="5" width="10" customWidth="1"/>
    <col min="7" max="7" width="13.42578125" bestFit="1" customWidth="1"/>
    <col min="8" max="8" width="5.5703125" customWidth="1"/>
  </cols>
  <sheetData>
    <row r="1" spans="1:9" ht="16.5" thickBot="1" x14ac:dyDescent="0.3">
      <c r="A1" s="60" t="s">
        <v>21</v>
      </c>
      <c r="B1" s="60"/>
    </row>
    <row r="2" spans="1:9" ht="20.100000000000001" customHeight="1" x14ac:dyDescent="0.2">
      <c r="A2" s="64" t="s">
        <v>65</v>
      </c>
      <c r="B2" s="65"/>
    </row>
    <row r="3" spans="1:9" ht="20.100000000000001" customHeight="1" x14ac:dyDescent="0.2">
      <c r="A3" s="66" t="s">
        <v>66</v>
      </c>
      <c r="B3" s="67"/>
    </row>
    <row r="4" spans="1:9" ht="20.100000000000001" customHeight="1" x14ac:dyDescent="0.2">
      <c r="A4" s="66" t="s">
        <v>67</v>
      </c>
      <c r="B4" s="67"/>
    </row>
    <row r="5" spans="1:9" ht="20.100000000000001" customHeight="1" thickBot="1" x14ac:dyDescent="0.25">
      <c r="A5" s="62" t="s">
        <v>68</v>
      </c>
      <c r="B5" s="63"/>
    </row>
    <row r="7" spans="1:9" ht="16.5" thickBot="1" x14ac:dyDescent="0.3">
      <c r="A7" s="60" t="s">
        <v>1</v>
      </c>
      <c r="B7" s="61"/>
      <c r="C7" s="61"/>
      <c r="D7" s="61"/>
      <c r="E7" s="61"/>
      <c r="F7" s="61"/>
      <c r="G7" s="61"/>
      <c r="H7" s="61"/>
      <c r="I7" s="61"/>
    </row>
    <row r="8" spans="1:9" ht="20.100000000000001" customHeight="1" thickBot="1" x14ac:dyDescent="0.25">
      <c r="A8" s="23" t="s">
        <v>2</v>
      </c>
      <c r="B8" s="24" t="s">
        <v>3</v>
      </c>
      <c r="C8" s="24" t="s">
        <v>4</v>
      </c>
      <c r="D8" s="24" t="s">
        <v>5</v>
      </c>
      <c r="E8" s="24" t="s">
        <v>6</v>
      </c>
      <c r="F8" s="24" t="s">
        <v>7</v>
      </c>
      <c r="G8" s="24" t="s">
        <v>8</v>
      </c>
      <c r="H8" s="24" t="s">
        <v>9</v>
      </c>
      <c r="I8" s="25" t="s">
        <v>22</v>
      </c>
    </row>
    <row r="9" spans="1:9" ht="20.100000000000001" customHeight="1" x14ac:dyDescent="0.2">
      <c r="A9" s="26" t="str">
        <f>$A$2</f>
        <v>Erster D</v>
      </c>
      <c r="B9" s="27" t="str">
        <f>$A$3</f>
        <v>Zweiter D</v>
      </c>
      <c r="C9" s="27" t="str">
        <f>$A$5</f>
        <v>Vierter D</v>
      </c>
      <c r="D9" s="3">
        <v>0</v>
      </c>
      <c r="E9" s="3">
        <v>0</v>
      </c>
      <c r="F9" s="29">
        <f t="shared" ref="F9:F14" si="0">IF(D9&gt;E9,2,IF(D9=E9,1,0))</f>
        <v>1</v>
      </c>
      <c r="G9" s="29">
        <f t="shared" ref="G9:G14" si="1">IF(D9&lt;E9,2,IF(D9=E9,1,0))</f>
        <v>1</v>
      </c>
      <c r="H9" s="6">
        <v>0.39583333333333331</v>
      </c>
      <c r="I9" s="7"/>
    </row>
    <row r="10" spans="1:9" ht="20.100000000000001" customHeight="1" x14ac:dyDescent="0.2">
      <c r="A10" s="28" t="str">
        <f>$A$4</f>
        <v>Dritter D</v>
      </c>
      <c r="B10" s="27" t="str">
        <f>$A$5</f>
        <v>Vierter D</v>
      </c>
      <c r="C10" s="27" t="str">
        <f>$A$3</f>
        <v>Zweiter D</v>
      </c>
      <c r="D10" s="4">
        <v>0</v>
      </c>
      <c r="E10" s="4">
        <v>0</v>
      </c>
      <c r="F10" s="29">
        <f t="shared" si="0"/>
        <v>1</v>
      </c>
      <c r="G10" s="29">
        <f t="shared" si="1"/>
        <v>1</v>
      </c>
      <c r="H10" s="6">
        <v>0.41666666666666669</v>
      </c>
      <c r="I10" s="8"/>
    </row>
    <row r="11" spans="1:9" ht="20.100000000000001" customHeight="1" x14ac:dyDescent="0.2">
      <c r="A11" s="26" t="str">
        <f>$A$2</f>
        <v>Erster D</v>
      </c>
      <c r="B11" s="27" t="str">
        <f>$A$5</f>
        <v>Vierter D</v>
      </c>
      <c r="C11" s="28" t="str">
        <f>$A$4</f>
        <v>Dritter D</v>
      </c>
      <c r="D11" s="4">
        <v>0</v>
      </c>
      <c r="E11" s="4">
        <v>0</v>
      </c>
      <c r="F11" s="29">
        <f t="shared" si="0"/>
        <v>1</v>
      </c>
      <c r="G11" s="29">
        <f t="shared" si="1"/>
        <v>1</v>
      </c>
      <c r="H11" s="9">
        <v>0.4375</v>
      </c>
      <c r="I11" s="8"/>
    </row>
    <row r="12" spans="1:9" ht="20.100000000000001" customHeight="1" x14ac:dyDescent="0.2">
      <c r="A12" s="27" t="str">
        <f>$A$3</f>
        <v>Zweiter D</v>
      </c>
      <c r="B12" s="28" t="str">
        <f>$A$4</f>
        <v>Dritter D</v>
      </c>
      <c r="C12" s="26" t="str">
        <f>$A$2</f>
        <v>Erster D</v>
      </c>
      <c r="D12" s="4">
        <v>0</v>
      </c>
      <c r="E12" s="4">
        <v>0</v>
      </c>
      <c r="F12" s="29">
        <f t="shared" si="0"/>
        <v>1</v>
      </c>
      <c r="G12" s="29">
        <f t="shared" si="1"/>
        <v>1</v>
      </c>
      <c r="H12" s="9">
        <v>0.45833333333333331</v>
      </c>
      <c r="I12" s="8"/>
    </row>
    <row r="13" spans="1:9" ht="20.100000000000001" customHeight="1" x14ac:dyDescent="0.2">
      <c r="A13" s="27" t="str">
        <f>$A$3</f>
        <v>Zweiter D</v>
      </c>
      <c r="B13" s="27" t="str">
        <f>$A$5</f>
        <v>Vierter D</v>
      </c>
      <c r="C13" s="28" t="str">
        <f>$A$4</f>
        <v>Dritter D</v>
      </c>
      <c r="D13" s="4">
        <v>0</v>
      </c>
      <c r="E13" s="4">
        <v>0</v>
      </c>
      <c r="F13" s="29">
        <f t="shared" si="0"/>
        <v>1</v>
      </c>
      <c r="G13" s="29">
        <f t="shared" si="1"/>
        <v>1</v>
      </c>
      <c r="H13" s="9">
        <v>0.47916666666666669</v>
      </c>
      <c r="I13" s="8"/>
    </row>
    <row r="14" spans="1:9" ht="20.100000000000001" customHeight="1" thickBot="1" x14ac:dyDescent="0.25">
      <c r="A14" s="26" t="str">
        <f>$A$2</f>
        <v>Erster D</v>
      </c>
      <c r="B14" s="28" t="str">
        <f>$A$4</f>
        <v>Dritter D</v>
      </c>
      <c r="C14" s="27" t="str">
        <f>$A$3</f>
        <v>Zweiter D</v>
      </c>
      <c r="D14" s="5">
        <v>0</v>
      </c>
      <c r="E14" s="5">
        <v>0</v>
      </c>
      <c r="F14" s="30">
        <f t="shared" si="0"/>
        <v>1</v>
      </c>
      <c r="G14" s="30">
        <f t="shared" si="1"/>
        <v>1</v>
      </c>
      <c r="H14" s="10">
        <v>0.5</v>
      </c>
      <c r="I14" s="11"/>
    </row>
    <row r="16" spans="1:9" ht="16.5" thickBot="1" x14ac:dyDescent="0.3">
      <c r="A16" s="60" t="s">
        <v>0</v>
      </c>
      <c r="B16" s="61"/>
      <c r="C16" s="61"/>
      <c r="D16" s="61"/>
      <c r="E16" s="61"/>
      <c r="F16" s="61"/>
      <c r="G16" s="61"/>
    </row>
    <row r="17" spans="1:7" ht="20.100000000000001" customHeight="1" thickBot="1" x14ac:dyDescent="0.25">
      <c r="A17" s="31" t="s">
        <v>10</v>
      </c>
      <c r="B17" s="32" t="s">
        <v>11</v>
      </c>
      <c r="C17" s="32" t="s">
        <v>14</v>
      </c>
      <c r="D17" s="25" t="s">
        <v>17</v>
      </c>
      <c r="E17" s="32" t="s">
        <v>12</v>
      </c>
      <c r="F17" s="32" t="s">
        <v>13</v>
      </c>
      <c r="G17" s="32" t="s">
        <v>16</v>
      </c>
    </row>
    <row r="18" spans="1:7" ht="20.100000000000001" customHeight="1" x14ac:dyDescent="0.2">
      <c r="A18" s="26" t="str">
        <f>$A$2</f>
        <v>Erster D</v>
      </c>
      <c r="B18" s="27">
        <f>$F$9+$F$14+$F$11</f>
        <v>3</v>
      </c>
      <c r="C18" s="27">
        <f>$G$9+$G$11+$G$14</f>
        <v>3</v>
      </c>
      <c r="D18" s="33">
        <f>IF(C18=0,6,B18/C18)</f>
        <v>1</v>
      </c>
      <c r="E18" s="27">
        <f>$D$9+$D$14+$D$11</f>
        <v>0</v>
      </c>
      <c r="F18" s="27">
        <f>$E$9+$E$11+$E$14</f>
        <v>0</v>
      </c>
      <c r="G18" s="34">
        <f>IF(F18=0,100,E18/F18)</f>
        <v>100</v>
      </c>
    </row>
    <row r="19" spans="1:7" ht="20.100000000000001" customHeight="1" x14ac:dyDescent="0.2">
      <c r="A19" s="26" t="str">
        <f>$A$3</f>
        <v>Zweiter D</v>
      </c>
      <c r="B19" s="35">
        <f>$G$9+$F$13+$F$12</f>
        <v>3</v>
      </c>
      <c r="C19" s="35">
        <f>$F$9+$G$12+$G$13</f>
        <v>3</v>
      </c>
      <c r="D19" s="36">
        <f>IF(C19=0,6,B19/C19)</f>
        <v>1</v>
      </c>
      <c r="E19" s="35">
        <f>$E$9+$D$13+$D$12</f>
        <v>0</v>
      </c>
      <c r="F19" s="35">
        <f>$D$9+$E$12+$E$13</f>
        <v>0</v>
      </c>
      <c r="G19" s="34">
        <f>IF(F19=0,100,E19/F19)</f>
        <v>100</v>
      </c>
    </row>
    <row r="20" spans="1:7" ht="20.100000000000001" customHeight="1" x14ac:dyDescent="0.2">
      <c r="A20" s="26" t="str">
        <f>$A$4</f>
        <v>Dritter D</v>
      </c>
      <c r="B20" s="35">
        <f>$F$10+$G$14+$G$12</f>
        <v>3</v>
      </c>
      <c r="C20" s="35">
        <f>$G$10+$F$12+$F$14</f>
        <v>3</v>
      </c>
      <c r="D20" s="36">
        <f>IF(C20=0,6,B20/C20)</f>
        <v>1</v>
      </c>
      <c r="E20" s="35">
        <f>$D$10+$E$14+$E$12</f>
        <v>0</v>
      </c>
      <c r="F20" s="35">
        <f>$E$10+$D$12+$D$14</f>
        <v>0</v>
      </c>
      <c r="G20" s="34">
        <f>IF(F20=0,100,E20/F20)</f>
        <v>100</v>
      </c>
    </row>
    <row r="21" spans="1:7" ht="20.100000000000001" customHeight="1" thickBot="1" x14ac:dyDescent="0.25">
      <c r="A21" s="37" t="str">
        <f>$A$5</f>
        <v>Vierter D</v>
      </c>
      <c r="B21" s="38">
        <f>$G$10+$G$13+$G$11</f>
        <v>3</v>
      </c>
      <c r="C21" s="38">
        <f>$F$10+$F$11+$F$13</f>
        <v>3</v>
      </c>
      <c r="D21" s="39">
        <f>IF(C21=0,6,B21/C21)</f>
        <v>1</v>
      </c>
      <c r="E21" s="38">
        <f>$E$10+$E$13+$E$11</f>
        <v>0</v>
      </c>
      <c r="F21" s="38">
        <f>$D$10+$D$11+$D$13</f>
        <v>0</v>
      </c>
      <c r="G21" s="40">
        <f>IF(F21=0,100,E21/F21)</f>
        <v>100</v>
      </c>
    </row>
  </sheetData>
  <mergeCells count="7">
    <mergeCell ref="A7:I7"/>
    <mergeCell ref="A16:G16"/>
    <mergeCell ref="A5:B5"/>
    <mergeCell ref="A1:B1"/>
    <mergeCell ref="A2:B2"/>
    <mergeCell ref="A3:B3"/>
    <mergeCell ref="A4:B4"/>
  </mergeCells>
  <pageMargins left="0.78740157499999996" right="0.78740157499999996" top="0.984251969" bottom="0.984251969" header="0.4921259845" footer="0.4921259845"/>
  <pageSetup paperSize="9" orientation="landscape" horizontalDpi="300" verticalDpi="0" r:id="rId1"/>
  <headerFooter alignWithMargins="0">
    <oddHeader>&amp;C&amp;A / Endrunde</oddHeader>
  </headerFooter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autoPict="0" r:id="rId5">
            <anchor moveWithCells="1">
              <from>
                <xdr:col>0</xdr:col>
                <xdr:colOff>9525</xdr:colOff>
                <xdr:row>22</xdr:row>
                <xdr:rowOff>9525</xdr:rowOff>
              </from>
              <to>
                <xdr:col>4</xdr:col>
                <xdr:colOff>428625</xdr:colOff>
                <xdr:row>24</xdr:row>
                <xdr:rowOff>28575</xdr:rowOff>
              </to>
            </anchor>
          </controlPr>
        </control>
      </mc:Choice>
      <mc:Fallback>
        <control shapeId="5122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J21"/>
  <sheetViews>
    <sheetView zoomScale="85" workbookViewId="0">
      <selection sqref="A1:J1"/>
    </sheetView>
  </sheetViews>
  <sheetFormatPr baseColWidth="10" defaultRowHeight="12.75" x14ac:dyDescent="0.2"/>
  <cols>
    <col min="1" max="1" width="5.140625" bestFit="1" customWidth="1"/>
    <col min="2" max="4" width="18.7109375" customWidth="1"/>
    <col min="6" max="6" width="11.85546875" customWidth="1"/>
    <col min="7" max="7" width="10.42578125" customWidth="1"/>
    <col min="8" max="8" width="10" bestFit="1" customWidth="1"/>
    <col min="9" max="9" width="9.5703125" customWidth="1"/>
    <col min="10" max="10" width="11" customWidth="1"/>
  </cols>
  <sheetData>
    <row r="1" spans="1:10" ht="13.5" customHeight="1" thickBot="1" x14ac:dyDescent="0.3">
      <c r="A1" s="68" t="s">
        <v>23</v>
      </c>
      <c r="B1" s="69"/>
      <c r="C1" s="69"/>
      <c r="D1" s="69"/>
      <c r="E1" s="69"/>
      <c r="F1" s="69"/>
      <c r="G1" s="69"/>
      <c r="H1" s="69"/>
      <c r="I1" s="69"/>
      <c r="J1" s="70"/>
    </row>
    <row r="2" spans="1:10" ht="20.100000000000001" customHeight="1" thickBot="1" x14ac:dyDescent="0.25">
      <c r="A2" s="23" t="s">
        <v>47</v>
      </c>
      <c r="B2" s="24" t="s">
        <v>2</v>
      </c>
      <c r="C2" s="24" t="s">
        <v>3</v>
      </c>
      <c r="D2" s="24" t="s">
        <v>4</v>
      </c>
      <c r="E2" s="24" t="s">
        <v>5</v>
      </c>
      <c r="F2" s="24" t="s">
        <v>6</v>
      </c>
      <c r="G2" s="24" t="s">
        <v>7</v>
      </c>
      <c r="H2" s="24" t="s">
        <v>8</v>
      </c>
      <c r="I2" s="24" t="s">
        <v>9</v>
      </c>
      <c r="J2" s="25" t="s">
        <v>22</v>
      </c>
    </row>
    <row r="3" spans="1:10" ht="20.100000000000001" customHeight="1" x14ac:dyDescent="0.2">
      <c r="A3" s="41"/>
      <c r="B3" s="13" t="s">
        <v>25</v>
      </c>
      <c r="C3" s="13" t="s">
        <v>26</v>
      </c>
      <c r="D3" s="13" t="s">
        <v>31</v>
      </c>
      <c r="E3" s="13"/>
      <c r="F3" s="13"/>
      <c r="G3" s="13"/>
      <c r="H3" s="13"/>
      <c r="I3" s="13"/>
      <c r="J3" s="42"/>
    </row>
    <row r="4" spans="1:10" ht="20.100000000000001" customHeight="1" x14ac:dyDescent="0.2">
      <c r="A4" s="47">
        <v>1</v>
      </c>
      <c r="B4" s="35" t="str">
        <f>'Gruppe A'!A18</f>
        <v>Erster A</v>
      </c>
      <c r="C4" s="35" t="str">
        <f>'Gruppe B'!A19</f>
        <v>Zweiter B</v>
      </c>
      <c r="D4" s="35" t="str">
        <f>'Gruppe D'!A18</f>
        <v>Erster D</v>
      </c>
      <c r="E4" s="4">
        <v>1</v>
      </c>
      <c r="F4" s="4">
        <v>0</v>
      </c>
      <c r="G4" s="1">
        <f>IF(E4&gt;F4,2,IF(E4=F4,1,0))</f>
        <v>2</v>
      </c>
      <c r="H4" s="1">
        <f>IF(E4&lt;F4,2,IF(E4=F4,1,0))</f>
        <v>0</v>
      </c>
      <c r="I4" s="9">
        <v>0.54166666666666663</v>
      </c>
      <c r="J4" s="8" t="s">
        <v>41</v>
      </c>
    </row>
    <row r="5" spans="1:10" ht="20.100000000000001" customHeight="1" x14ac:dyDescent="0.2">
      <c r="A5" s="43"/>
      <c r="B5" s="44" t="s">
        <v>27</v>
      </c>
      <c r="C5" s="44" t="s">
        <v>32</v>
      </c>
      <c r="D5" s="44" t="s">
        <v>29</v>
      </c>
      <c r="E5" s="44"/>
      <c r="F5" s="44"/>
      <c r="G5" s="44"/>
      <c r="H5" s="44"/>
      <c r="I5" s="44"/>
      <c r="J5" s="45"/>
    </row>
    <row r="6" spans="1:10" ht="20.100000000000001" customHeight="1" x14ac:dyDescent="0.2">
      <c r="A6" s="47">
        <v>2</v>
      </c>
      <c r="B6" s="35" t="str">
        <f>'Gruppe B'!A18</f>
        <v>Erster B</v>
      </c>
      <c r="C6" s="35" t="str">
        <f>'Gruppe A'!A19</f>
        <v>Zweiter A</v>
      </c>
      <c r="D6" s="35" t="str">
        <f>'Gruppe C'!$A$18</f>
        <v>Erster C</v>
      </c>
      <c r="E6" s="4">
        <v>1</v>
      </c>
      <c r="F6" s="4">
        <v>0</v>
      </c>
      <c r="G6" s="1">
        <f>IF(E6&gt;F6,2,IF(E6=F6,1,0))</f>
        <v>2</v>
      </c>
      <c r="H6" s="1">
        <f>IF(E6&lt;F6,2,IF(E6=F6,1,0))</f>
        <v>0</v>
      </c>
      <c r="I6" s="9">
        <v>0.54166666666666663</v>
      </c>
      <c r="J6" s="8" t="s">
        <v>42</v>
      </c>
    </row>
    <row r="7" spans="1:10" ht="20.100000000000001" customHeight="1" x14ac:dyDescent="0.2">
      <c r="A7" s="43"/>
      <c r="B7" s="44" t="s">
        <v>29</v>
      </c>
      <c r="C7" s="44" t="s">
        <v>30</v>
      </c>
      <c r="D7" s="44" t="s">
        <v>27</v>
      </c>
      <c r="E7" s="44"/>
      <c r="F7" s="44"/>
      <c r="G7" s="44"/>
      <c r="H7" s="44"/>
      <c r="I7" s="44"/>
      <c r="J7" s="45"/>
    </row>
    <row r="8" spans="1:10" ht="20.100000000000001" customHeight="1" x14ac:dyDescent="0.2">
      <c r="A8" s="47">
        <v>3</v>
      </c>
      <c r="B8" s="35" t="str">
        <f>'Gruppe C'!A18</f>
        <v>Erster C</v>
      </c>
      <c r="C8" s="35" t="str">
        <f>'Gruppe D'!A19</f>
        <v>Zweiter D</v>
      </c>
      <c r="D8" s="35" t="str">
        <f>'Gruppe B'!$A$18</f>
        <v>Erster B</v>
      </c>
      <c r="E8" s="4">
        <v>1</v>
      </c>
      <c r="F8" s="4">
        <v>0</v>
      </c>
      <c r="G8" s="1">
        <f>IF(E8&gt;F8,2,IF(E8=F8,1,0))</f>
        <v>2</v>
      </c>
      <c r="H8" s="1">
        <f>IF(E8&lt;F8,2,IF(E8=F8,1,0))</f>
        <v>0</v>
      </c>
      <c r="I8" s="9">
        <v>0.5625</v>
      </c>
      <c r="J8" s="8" t="s">
        <v>41</v>
      </c>
    </row>
    <row r="9" spans="1:10" ht="20.100000000000001" customHeight="1" x14ac:dyDescent="0.2">
      <c r="A9" s="43"/>
      <c r="B9" s="44" t="s">
        <v>31</v>
      </c>
      <c r="C9" s="44" t="s">
        <v>28</v>
      </c>
      <c r="D9" s="44" t="s">
        <v>25</v>
      </c>
      <c r="E9" s="44"/>
      <c r="F9" s="44"/>
      <c r="G9" s="44"/>
      <c r="H9" s="44"/>
      <c r="I9" s="44"/>
      <c r="J9" s="45"/>
    </row>
    <row r="10" spans="1:10" ht="20.100000000000001" customHeight="1" thickBot="1" x14ac:dyDescent="0.25">
      <c r="A10" s="48">
        <v>4</v>
      </c>
      <c r="B10" s="38" t="str">
        <f>'Gruppe D'!A18</f>
        <v>Erster D</v>
      </c>
      <c r="C10" s="38" t="str">
        <f>'Gruppe C'!A19</f>
        <v>Zweiter C</v>
      </c>
      <c r="D10" s="38" t="str">
        <f>'Gruppe A'!$A$18</f>
        <v>Erster A</v>
      </c>
      <c r="E10" s="5">
        <v>1</v>
      </c>
      <c r="F10" s="5">
        <v>0</v>
      </c>
      <c r="G10" s="2">
        <f>IF(E10&gt;F10,2,IF(E10=F10,1,0))</f>
        <v>2</v>
      </c>
      <c r="H10" s="2">
        <f>IF(E10&lt;F10,2,IF(E10=F10,1,0))</f>
        <v>0</v>
      </c>
      <c r="I10" s="10">
        <v>0.5625</v>
      </c>
      <c r="J10" s="11" t="s">
        <v>42</v>
      </c>
    </row>
    <row r="11" spans="1:10" ht="13.5" thickBot="1" x14ac:dyDescent="0.25"/>
    <row r="12" spans="1:10" ht="13.5" customHeight="1" thickBot="1" x14ac:dyDescent="0.3">
      <c r="A12" s="68" t="s">
        <v>24</v>
      </c>
      <c r="B12" s="69"/>
      <c r="C12" s="69"/>
      <c r="D12" s="69"/>
      <c r="E12" s="69"/>
      <c r="F12" s="69"/>
      <c r="G12" s="69"/>
      <c r="H12" s="69"/>
      <c r="I12" s="69"/>
      <c r="J12" s="70"/>
    </row>
    <row r="13" spans="1:10" ht="20.100000000000001" customHeight="1" thickBot="1" x14ac:dyDescent="0.25">
      <c r="A13" s="31" t="s">
        <v>47</v>
      </c>
      <c r="B13" s="24" t="s">
        <v>2</v>
      </c>
      <c r="C13" s="24" t="s">
        <v>3</v>
      </c>
      <c r="D13" s="24" t="s">
        <v>4</v>
      </c>
      <c r="E13" s="24" t="s">
        <v>5</v>
      </c>
      <c r="F13" s="24" t="s">
        <v>6</v>
      </c>
      <c r="G13" s="24" t="s">
        <v>7</v>
      </c>
      <c r="H13" s="24" t="s">
        <v>8</v>
      </c>
      <c r="I13" s="24" t="s">
        <v>9</v>
      </c>
      <c r="J13" s="25" t="s">
        <v>22</v>
      </c>
    </row>
    <row r="14" spans="1:10" ht="20.100000000000001" customHeight="1" x14ac:dyDescent="0.2">
      <c r="A14" s="41"/>
      <c r="B14" s="13" t="s">
        <v>33</v>
      </c>
      <c r="C14" s="13" t="s">
        <v>34</v>
      </c>
      <c r="D14" s="13" t="s">
        <v>39</v>
      </c>
      <c r="E14" s="13"/>
      <c r="F14" s="13"/>
      <c r="G14" s="13"/>
      <c r="H14" s="13"/>
      <c r="I14" s="13"/>
      <c r="J14" s="42"/>
    </row>
    <row r="15" spans="1:10" ht="20.100000000000001" customHeight="1" x14ac:dyDescent="0.2">
      <c r="A15" s="47">
        <v>5</v>
      </c>
      <c r="B15" s="35" t="str">
        <f>'Gruppe A'!$A$20</f>
        <v>Dritter A</v>
      </c>
      <c r="C15" s="35" t="str">
        <f>'Gruppe B'!$A$21</f>
        <v>Vierter B</v>
      </c>
      <c r="D15" s="35" t="str">
        <f>'Gruppe D'!A20</f>
        <v>Dritter D</v>
      </c>
      <c r="E15" s="4">
        <v>1</v>
      </c>
      <c r="F15" s="4">
        <v>0</v>
      </c>
      <c r="G15" s="1">
        <f>IF(E15&gt;F15,2,IF(E15=F15,1,0))</f>
        <v>2</v>
      </c>
      <c r="H15" s="1">
        <f>IF(E15&lt;F15,2,IF(E15=F15,1,0))</f>
        <v>0</v>
      </c>
      <c r="I15" s="9">
        <v>0.54166666666666663</v>
      </c>
      <c r="J15" s="8" t="s">
        <v>43</v>
      </c>
    </row>
    <row r="16" spans="1:10" ht="20.100000000000001" customHeight="1" x14ac:dyDescent="0.2">
      <c r="A16" s="43"/>
      <c r="B16" s="44" t="s">
        <v>35</v>
      </c>
      <c r="C16" s="44" t="s">
        <v>40</v>
      </c>
      <c r="D16" s="44" t="s">
        <v>37</v>
      </c>
      <c r="E16" s="44"/>
      <c r="F16" s="44"/>
      <c r="G16" s="44"/>
      <c r="H16" s="44"/>
      <c r="I16" s="44"/>
      <c r="J16" s="45"/>
    </row>
    <row r="17" spans="1:10" ht="20.100000000000001" customHeight="1" x14ac:dyDescent="0.2">
      <c r="A17" s="47">
        <v>6</v>
      </c>
      <c r="B17" s="35" t="str">
        <f>'Gruppe B'!$A$20</f>
        <v>Dritter B</v>
      </c>
      <c r="C17" s="35" t="str">
        <f>'Gruppe A'!A21</f>
        <v>Vierter A</v>
      </c>
      <c r="D17" s="35" t="str">
        <f>'Gruppe C'!$A$20</f>
        <v>Dritter C</v>
      </c>
      <c r="E17" s="4">
        <v>1</v>
      </c>
      <c r="F17" s="4">
        <v>0</v>
      </c>
      <c r="G17" s="1">
        <f>IF(E17&gt;F17,2,IF(E17=F17,1,0))</f>
        <v>2</v>
      </c>
      <c r="H17" s="1">
        <f>IF(E17&lt;F17,2,IF(E17=F17,1,0))</f>
        <v>0</v>
      </c>
      <c r="I17" s="9">
        <v>0.54166666666666663</v>
      </c>
      <c r="J17" s="8" t="s">
        <v>44</v>
      </c>
    </row>
    <row r="18" spans="1:10" ht="20.100000000000001" customHeight="1" x14ac:dyDescent="0.2">
      <c r="A18" s="43"/>
      <c r="B18" s="44" t="s">
        <v>37</v>
      </c>
      <c r="C18" s="44" t="s">
        <v>38</v>
      </c>
      <c r="D18" s="44" t="s">
        <v>35</v>
      </c>
      <c r="E18" s="44"/>
      <c r="F18" s="44"/>
      <c r="G18" s="44"/>
      <c r="H18" s="44"/>
      <c r="I18" s="44"/>
      <c r="J18" s="45"/>
    </row>
    <row r="19" spans="1:10" ht="20.100000000000001" customHeight="1" x14ac:dyDescent="0.2">
      <c r="A19" s="47">
        <v>7</v>
      </c>
      <c r="B19" s="35" t="str">
        <f>'Gruppe C'!$A$20</f>
        <v>Dritter C</v>
      </c>
      <c r="C19" s="35" t="str">
        <f>'Gruppe D'!A21</f>
        <v>Vierter D</v>
      </c>
      <c r="D19" s="35" t="str">
        <f>'Gruppe B'!$A$20</f>
        <v>Dritter B</v>
      </c>
      <c r="E19" s="4">
        <v>1</v>
      </c>
      <c r="F19" s="4">
        <v>0</v>
      </c>
      <c r="G19" s="1">
        <f>IF(E19&gt;F19,2,IF(E19=F19,1,0))</f>
        <v>2</v>
      </c>
      <c r="H19" s="1">
        <f>IF(E19&lt;F19,2,IF(E19=F19,1,0))</f>
        <v>0</v>
      </c>
      <c r="I19" s="9">
        <v>0.5625</v>
      </c>
      <c r="J19" s="8" t="s">
        <v>43</v>
      </c>
    </row>
    <row r="20" spans="1:10" ht="20.100000000000001" customHeight="1" x14ac:dyDescent="0.2">
      <c r="A20" s="43"/>
      <c r="B20" s="44" t="s">
        <v>39</v>
      </c>
      <c r="C20" s="44" t="s">
        <v>36</v>
      </c>
      <c r="D20" s="44" t="s">
        <v>33</v>
      </c>
      <c r="E20" s="44"/>
      <c r="F20" s="44"/>
      <c r="G20" s="44"/>
      <c r="H20" s="44"/>
      <c r="I20" s="44"/>
      <c r="J20" s="45"/>
    </row>
    <row r="21" spans="1:10" ht="20.100000000000001" customHeight="1" thickBot="1" x14ac:dyDescent="0.25">
      <c r="A21" s="48">
        <v>8</v>
      </c>
      <c r="B21" s="38" t="str">
        <f>'Gruppe D'!A20</f>
        <v>Dritter D</v>
      </c>
      <c r="C21" s="38" t="str">
        <f>'Gruppe C'!A21</f>
        <v>Vierter C</v>
      </c>
      <c r="D21" s="38" t="str">
        <f>'Gruppe A'!$A$20</f>
        <v>Dritter A</v>
      </c>
      <c r="E21" s="5">
        <v>1</v>
      </c>
      <c r="F21" s="5">
        <v>0</v>
      </c>
      <c r="G21" s="2">
        <f>IF(E21&gt;F21,2,IF(E21=F21,1,0))</f>
        <v>2</v>
      </c>
      <c r="H21" s="2">
        <f>IF(E21&lt;F21,2,IF(E21=F21,1,0))</f>
        <v>0</v>
      </c>
      <c r="I21" s="10">
        <v>0.5625</v>
      </c>
      <c r="J21" s="11" t="s">
        <v>44</v>
      </c>
    </row>
  </sheetData>
  <mergeCells count="2">
    <mergeCell ref="A1:J1"/>
    <mergeCell ref="A12:J12"/>
  </mergeCells>
  <pageMargins left="0.78740157499999996" right="0.78740157499999996" top="0.984251969" bottom="0.984251969" header="0.4921259845" footer="0.4921259845"/>
  <pageSetup paperSize="9" scale="94" orientation="landscape" horizontalDpi="300" verticalDpi="0" r:id="rId1"/>
  <headerFooter alignWithMargins="0">
    <oddHeader>&amp;C&amp;A / Endrunde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>
    <pageSetUpPr fitToPage="1"/>
  </sheetPr>
  <dimension ref="A1:J27"/>
  <sheetViews>
    <sheetView zoomScale="85" workbookViewId="0">
      <selection sqref="A1:J1"/>
    </sheetView>
  </sheetViews>
  <sheetFormatPr baseColWidth="10" defaultRowHeight="12.75" x14ac:dyDescent="0.2"/>
  <cols>
    <col min="1" max="1" width="5.140625" bestFit="1" customWidth="1"/>
    <col min="2" max="4" width="18.7109375" customWidth="1"/>
    <col min="6" max="6" width="11.85546875" customWidth="1"/>
    <col min="7" max="7" width="10.42578125" customWidth="1"/>
    <col min="8" max="8" width="10" bestFit="1" customWidth="1"/>
    <col min="9" max="9" width="9.5703125" customWidth="1"/>
    <col min="10" max="10" width="11" customWidth="1"/>
  </cols>
  <sheetData>
    <row r="1" spans="1:10" ht="13.5" customHeight="1" thickBot="1" x14ac:dyDescent="0.3">
      <c r="A1" s="71" t="s">
        <v>45</v>
      </c>
      <c r="B1" s="72"/>
      <c r="C1" s="72"/>
      <c r="D1" s="72"/>
      <c r="E1" s="72"/>
      <c r="F1" s="72"/>
      <c r="G1" s="72"/>
      <c r="H1" s="72"/>
      <c r="I1" s="72"/>
      <c r="J1" s="73"/>
    </row>
    <row r="2" spans="1:10" ht="20.100000000000001" customHeight="1" thickBot="1" x14ac:dyDescent="0.25">
      <c r="A2" s="31" t="s">
        <v>47</v>
      </c>
      <c r="B2" s="24" t="s">
        <v>2</v>
      </c>
      <c r="C2" s="24" t="s">
        <v>3</v>
      </c>
      <c r="D2" s="24" t="s">
        <v>4</v>
      </c>
      <c r="E2" s="24" t="s">
        <v>5</v>
      </c>
      <c r="F2" s="24" t="s">
        <v>6</v>
      </c>
      <c r="G2" s="24" t="s">
        <v>7</v>
      </c>
      <c r="H2" s="24" t="s">
        <v>8</v>
      </c>
      <c r="I2" s="24" t="s">
        <v>9</v>
      </c>
      <c r="J2" s="25" t="s">
        <v>22</v>
      </c>
    </row>
    <row r="3" spans="1:10" ht="20.100000000000001" customHeight="1" x14ac:dyDescent="0.2">
      <c r="A3" s="12"/>
      <c r="B3" s="13" t="s">
        <v>48</v>
      </c>
      <c r="C3" s="13" t="s">
        <v>50</v>
      </c>
      <c r="D3" s="13"/>
      <c r="E3" s="13"/>
      <c r="F3" s="13"/>
      <c r="G3" s="13"/>
      <c r="H3" s="13"/>
      <c r="I3" s="13"/>
      <c r="J3" s="42"/>
    </row>
    <row r="4" spans="1:10" ht="20.100000000000001" customHeight="1" x14ac:dyDescent="0.2">
      <c r="A4" s="47">
        <v>9</v>
      </c>
      <c r="B4" s="35" t="str">
        <f>IF('Zwi.runde I'!G4&gt;'Zwi.runde I'!H4,'Zwi.runde I'!B4,'Zwi.runde I'!C4)</f>
        <v>Erster A</v>
      </c>
      <c r="C4" s="35" t="str">
        <f>IF('Zwi.runde I'!G8&gt;'Zwi.runde I'!H8,'Zwi.runde I'!B8,'Zwi.runde I'!C8)</f>
        <v>Erster C</v>
      </c>
      <c r="D4" s="35"/>
      <c r="E4" s="4">
        <v>1</v>
      </c>
      <c r="F4" s="4">
        <v>0</v>
      </c>
      <c r="G4" s="1">
        <f>IF(E4&gt;F4,2,IF(E4=F4,1,0))</f>
        <v>2</v>
      </c>
      <c r="H4" s="1">
        <f>IF(E4&lt;F4,2,IF(E4=F4,1,0))</f>
        <v>0</v>
      </c>
      <c r="I4" s="9">
        <v>0.59375</v>
      </c>
      <c r="J4" s="8" t="s">
        <v>41</v>
      </c>
    </row>
    <row r="5" spans="1:10" ht="20.100000000000001" customHeight="1" x14ac:dyDescent="0.2">
      <c r="A5" s="14"/>
      <c r="B5" s="44" t="s">
        <v>49</v>
      </c>
      <c r="C5" s="44" t="s">
        <v>51</v>
      </c>
      <c r="D5" s="44"/>
      <c r="E5" s="44"/>
      <c r="F5" s="44"/>
      <c r="G5" s="44"/>
      <c r="H5" s="44"/>
      <c r="I5" s="44"/>
      <c r="J5" s="45"/>
    </row>
    <row r="6" spans="1:10" ht="20.100000000000001" customHeight="1" thickBot="1" x14ac:dyDescent="0.25">
      <c r="A6" s="48">
        <v>10</v>
      </c>
      <c r="B6" s="38" t="str">
        <f>IF('Zwi.runde I'!G6&gt;'Zwi.runde I'!H6,'Zwi.runde I'!B6,'Zwi.runde I'!C6)</f>
        <v>Erster B</v>
      </c>
      <c r="C6" s="38" t="str">
        <f>IF('Zwi.runde I'!G10&gt;'Zwi.runde I'!H10,'Zwi.runde I'!B10,'Zwi.runde I'!C10)</f>
        <v>Erster D</v>
      </c>
      <c r="D6" s="38"/>
      <c r="E6" s="5">
        <v>1</v>
      </c>
      <c r="F6" s="5">
        <v>0</v>
      </c>
      <c r="G6" s="2">
        <f>IF(E6&gt;F6,2,IF(E6=F6,1,0))</f>
        <v>2</v>
      </c>
      <c r="H6" s="2">
        <f>IF(E6&lt;F6,2,IF(E6=F6,1,0))</f>
        <v>0</v>
      </c>
      <c r="I6" s="10">
        <v>0.59375</v>
      </c>
      <c r="J6" s="11" t="s">
        <v>42</v>
      </c>
    </row>
    <row r="7" spans="1:10" ht="13.5" thickBot="1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</row>
    <row r="8" spans="1:10" ht="16.5" thickBot="1" x14ac:dyDescent="0.3">
      <c r="A8" s="71" t="s">
        <v>46</v>
      </c>
      <c r="B8" s="72"/>
      <c r="C8" s="72"/>
      <c r="D8" s="72"/>
      <c r="E8" s="72"/>
      <c r="F8" s="72"/>
      <c r="G8" s="72"/>
      <c r="H8" s="72"/>
      <c r="I8" s="72"/>
      <c r="J8" s="73"/>
    </row>
    <row r="9" spans="1:10" ht="20.100000000000001" customHeight="1" thickBot="1" x14ac:dyDescent="0.25">
      <c r="A9" s="31" t="s">
        <v>47</v>
      </c>
      <c r="B9" s="24" t="s">
        <v>2</v>
      </c>
      <c r="C9" s="24" t="s">
        <v>3</v>
      </c>
      <c r="D9" s="24" t="s">
        <v>4</v>
      </c>
      <c r="E9" s="24" t="s">
        <v>5</v>
      </c>
      <c r="F9" s="24" t="s">
        <v>6</v>
      </c>
      <c r="G9" s="24" t="s">
        <v>7</v>
      </c>
      <c r="H9" s="24" t="s">
        <v>8</v>
      </c>
      <c r="I9" s="24" t="s">
        <v>9</v>
      </c>
      <c r="J9" s="25" t="s">
        <v>22</v>
      </c>
    </row>
    <row r="10" spans="1:10" ht="20.100000000000001" customHeight="1" x14ac:dyDescent="0.2">
      <c r="A10" s="12"/>
      <c r="B10" s="13" t="s">
        <v>52</v>
      </c>
      <c r="C10" s="13" t="s">
        <v>69</v>
      </c>
      <c r="D10" s="13"/>
      <c r="E10" s="13"/>
      <c r="F10" s="13"/>
      <c r="G10" s="13"/>
      <c r="H10" s="13"/>
      <c r="I10" s="13"/>
      <c r="J10" s="42"/>
    </row>
    <row r="11" spans="1:10" ht="20.100000000000001" customHeight="1" x14ac:dyDescent="0.2">
      <c r="A11" s="47">
        <v>11</v>
      </c>
      <c r="B11" s="35" t="str">
        <f>IF('Zwi.runde I'!G4&lt;'Zwi.runde I'!H4,'Zwi.runde I'!B4,'Zwi.runde I'!C4)</f>
        <v>Zweiter B</v>
      </c>
      <c r="C11" s="35" t="str">
        <f>IF('Zwi.runde I'!G8&lt;'Zwi.runde I'!H8,'Zwi.runde I'!B8,'Zwi.runde I'!C8)</f>
        <v>Zweiter D</v>
      </c>
      <c r="D11" s="35"/>
      <c r="E11" s="4">
        <v>1</v>
      </c>
      <c r="F11" s="4">
        <v>0</v>
      </c>
      <c r="G11" s="1">
        <f>IF(E11&gt;F11,2,IF(E11=F11,1,0))</f>
        <v>2</v>
      </c>
      <c r="H11" s="1">
        <f>IF(E11&lt;F11,2,IF(E11=F11,1,0))</f>
        <v>0</v>
      </c>
      <c r="I11" s="9">
        <v>0.61458333333333337</v>
      </c>
      <c r="J11" s="8" t="s">
        <v>41</v>
      </c>
    </row>
    <row r="12" spans="1:10" ht="20.100000000000001" customHeight="1" x14ac:dyDescent="0.2">
      <c r="A12" s="14"/>
      <c r="B12" s="44" t="s">
        <v>70</v>
      </c>
      <c r="C12" s="44" t="s">
        <v>71</v>
      </c>
      <c r="D12" s="44"/>
      <c r="E12" s="44"/>
      <c r="F12" s="44"/>
      <c r="G12" s="44"/>
      <c r="H12" s="44"/>
      <c r="I12" s="44"/>
      <c r="J12" s="45"/>
    </row>
    <row r="13" spans="1:10" ht="20.100000000000001" customHeight="1" thickBot="1" x14ac:dyDescent="0.25">
      <c r="A13" s="48">
        <v>12</v>
      </c>
      <c r="B13" s="38" t="str">
        <f>IF('Zwi.runde I'!G6&lt;'Zwi.runde I'!H6,'Zwi.runde I'!B6,'Zwi.runde I'!C6)</f>
        <v>Zweiter A</v>
      </c>
      <c r="C13" s="38" t="str">
        <f>IF('Zwi.runde I'!G10&lt;'Zwi.runde I'!H10,'Zwi.runde I'!B10,'Zwi.runde I'!C10)</f>
        <v>Zweiter C</v>
      </c>
      <c r="D13" s="38"/>
      <c r="E13" s="5">
        <v>1</v>
      </c>
      <c r="F13" s="5">
        <v>0</v>
      </c>
      <c r="G13" s="30">
        <f>IF(E13&gt;F13,2,IF(E13=F13,1,0))</f>
        <v>2</v>
      </c>
      <c r="H13" s="30">
        <f>IF(E13&lt;F13,2,IF(E13=F13,1,0))</f>
        <v>0</v>
      </c>
      <c r="I13" s="10">
        <v>0.61458333333333337</v>
      </c>
      <c r="J13" s="11" t="s">
        <v>42</v>
      </c>
    </row>
    <row r="14" spans="1:10" ht="13.5" thickBot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</row>
    <row r="15" spans="1:10" ht="16.5" thickBot="1" x14ac:dyDescent="0.3">
      <c r="A15" s="68" t="s">
        <v>72</v>
      </c>
      <c r="B15" s="69" t="s">
        <v>72</v>
      </c>
      <c r="C15" s="69"/>
      <c r="D15" s="69"/>
      <c r="E15" s="69"/>
      <c r="F15" s="69"/>
      <c r="G15" s="69"/>
      <c r="H15" s="69"/>
      <c r="I15" s="69"/>
      <c r="J15" s="70"/>
    </row>
    <row r="16" spans="1:10" ht="20.100000000000001" customHeight="1" thickBot="1" x14ac:dyDescent="0.25">
      <c r="A16" s="31" t="s">
        <v>47</v>
      </c>
      <c r="B16" s="24" t="s">
        <v>2</v>
      </c>
      <c r="C16" s="24" t="s">
        <v>3</v>
      </c>
      <c r="D16" s="24" t="s">
        <v>4</v>
      </c>
      <c r="E16" s="24" t="s">
        <v>5</v>
      </c>
      <c r="F16" s="24" t="s">
        <v>6</v>
      </c>
      <c r="G16" s="24" t="s">
        <v>7</v>
      </c>
      <c r="H16" s="24" t="s">
        <v>8</v>
      </c>
      <c r="I16" s="24" t="s">
        <v>9</v>
      </c>
      <c r="J16" s="25" t="s">
        <v>22</v>
      </c>
    </row>
    <row r="17" spans="1:10" ht="20.100000000000001" customHeight="1" x14ac:dyDescent="0.2">
      <c r="A17" s="12"/>
      <c r="B17" s="13" t="s">
        <v>74</v>
      </c>
      <c r="C17" s="13" t="s">
        <v>75</v>
      </c>
      <c r="D17" s="13"/>
      <c r="E17" s="13"/>
      <c r="F17" s="13"/>
      <c r="G17" s="13"/>
      <c r="H17" s="13"/>
      <c r="I17" s="13"/>
      <c r="J17" s="42"/>
    </row>
    <row r="18" spans="1:10" ht="20.100000000000001" customHeight="1" x14ac:dyDescent="0.2">
      <c r="A18" s="47">
        <v>13</v>
      </c>
      <c r="B18" s="35" t="str">
        <f>IF('Zwi.runde I'!G15&gt;'Zwi.runde I'!H15,'Zwi.runde I'!B15,'Zwi.runde I'!C15)</f>
        <v>Dritter A</v>
      </c>
      <c r="C18" s="35" t="str">
        <f>IF('Zwi.runde I'!G19&gt;'Zwi.runde I'!H19,'Zwi.runde I'!B19,'Zwi.runde I'!C19)</f>
        <v>Dritter C</v>
      </c>
      <c r="D18" s="35"/>
      <c r="E18" s="4">
        <v>1</v>
      </c>
      <c r="F18" s="4">
        <v>0</v>
      </c>
      <c r="G18" s="29">
        <f>IF(E18&gt;F18,2,IF(E18=F18,1,0))</f>
        <v>2</v>
      </c>
      <c r="H18" s="29">
        <f>IF(E18&lt;F18,2,IF(E18=F18,1,0))</f>
        <v>0</v>
      </c>
      <c r="I18" s="9">
        <v>0.59375</v>
      </c>
      <c r="J18" s="8" t="s">
        <v>43</v>
      </c>
    </row>
    <row r="19" spans="1:10" ht="20.100000000000001" customHeight="1" x14ac:dyDescent="0.2">
      <c r="A19" s="14"/>
      <c r="B19" s="44" t="s">
        <v>76</v>
      </c>
      <c r="C19" s="44" t="s">
        <v>77</v>
      </c>
      <c r="D19" s="44"/>
      <c r="E19" s="44"/>
      <c r="F19" s="44"/>
      <c r="G19" s="44"/>
      <c r="H19" s="44"/>
      <c r="I19" s="44"/>
      <c r="J19" s="45"/>
    </row>
    <row r="20" spans="1:10" ht="20.100000000000001" customHeight="1" thickBot="1" x14ac:dyDescent="0.25">
      <c r="A20" s="48">
        <v>14</v>
      </c>
      <c r="B20" s="38" t="str">
        <f>IF('Zwi.runde I'!G17&gt;'Zwi.runde I'!H17,'Zwi.runde I'!B17,'Zwi.runde I'!C17)</f>
        <v>Dritter B</v>
      </c>
      <c r="C20" s="38" t="str">
        <f>IF('Zwi.runde I'!G21&gt;'Zwi.runde I'!H21,'Zwi.runde I'!B21,'Zwi.runde I'!C21)</f>
        <v>Dritter D</v>
      </c>
      <c r="D20" s="38"/>
      <c r="E20" s="5">
        <v>1</v>
      </c>
      <c r="F20" s="5">
        <v>0</v>
      </c>
      <c r="G20" s="30">
        <f>IF(E20&gt;F20,2,IF(E20=F20,1,0))</f>
        <v>2</v>
      </c>
      <c r="H20" s="30">
        <f>IF(E20&lt;F20,2,IF(E20=F20,1,0))</f>
        <v>0</v>
      </c>
      <c r="I20" s="10">
        <v>0.59375</v>
      </c>
      <c r="J20" s="11" t="s">
        <v>44</v>
      </c>
    </row>
    <row r="21" spans="1:10" ht="13.5" thickBot="1" x14ac:dyDescent="0.25">
      <c r="A21" s="49"/>
      <c r="B21" s="49"/>
      <c r="C21" s="49"/>
      <c r="D21" s="49"/>
    </row>
    <row r="22" spans="1:10" ht="16.5" thickBot="1" x14ac:dyDescent="0.3">
      <c r="A22" s="68" t="s">
        <v>73</v>
      </c>
      <c r="B22" s="69"/>
      <c r="C22" s="69"/>
      <c r="D22" s="69"/>
      <c r="E22" s="69"/>
      <c r="F22" s="69"/>
      <c r="G22" s="69"/>
      <c r="H22" s="69"/>
      <c r="I22" s="69"/>
      <c r="J22" s="70"/>
    </row>
    <row r="23" spans="1:10" ht="20.100000000000001" customHeight="1" thickBot="1" x14ac:dyDescent="0.25">
      <c r="A23" s="31" t="s">
        <v>47</v>
      </c>
      <c r="B23" s="24" t="s">
        <v>2</v>
      </c>
      <c r="C23" s="24" t="s">
        <v>3</v>
      </c>
      <c r="D23" s="24" t="s">
        <v>4</v>
      </c>
      <c r="E23" s="24" t="s">
        <v>5</v>
      </c>
      <c r="F23" s="24" t="s">
        <v>6</v>
      </c>
      <c r="G23" s="24" t="s">
        <v>7</v>
      </c>
      <c r="H23" s="24" t="s">
        <v>8</v>
      </c>
      <c r="I23" s="24" t="s">
        <v>9</v>
      </c>
      <c r="J23" s="25" t="s">
        <v>22</v>
      </c>
    </row>
    <row r="24" spans="1:10" ht="20.100000000000001" customHeight="1" x14ac:dyDescent="0.2">
      <c r="A24" s="12"/>
      <c r="B24" s="13" t="s">
        <v>78</v>
      </c>
      <c r="C24" s="13" t="s">
        <v>79</v>
      </c>
      <c r="D24" s="13"/>
      <c r="E24" s="13"/>
      <c r="F24" s="13"/>
      <c r="G24" s="13"/>
      <c r="H24" s="13"/>
      <c r="I24" s="13"/>
      <c r="J24" s="42"/>
    </row>
    <row r="25" spans="1:10" ht="20.100000000000001" customHeight="1" x14ac:dyDescent="0.2">
      <c r="A25" s="47">
        <v>15</v>
      </c>
      <c r="B25" s="35" t="str">
        <f>IF('Zwi.runde I'!G15&lt;'Zwi.runde I'!H15,'Zwi.runde I'!B15,'Zwi.runde I'!C15)</f>
        <v>Vierter B</v>
      </c>
      <c r="C25" s="35" t="str">
        <f>IF('Zwi.runde I'!G19&lt;'Zwi.runde I'!H19,'Zwi.runde I'!B19,'Zwi.runde I'!C19)</f>
        <v>Vierter D</v>
      </c>
      <c r="D25" s="35"/>
      <c r="E25" s="4">
        <v>1</v>
      </c>
      <c r="F25" s="4">
        <v>0</v>
      </c>
      <c r="G25" s="1">
        <f>IF(E25&gt;F25,2,IF(E25=F25,1,0))</f>
        <v>2</v>
      </c>
      <c r="H25" s="1">
        <f>IF(E25&lt;F25,2,IF(E25=F25,1,0))</f>
        <v>0</v>
      </c>
      <c r="I25" s="9">
        <v>0.61458333333333337</v>
      </c>
      <c r="J25" s="8" t="s">
        <v>43</v>
      </c>
    </row>
    <row r="26" spans="1:10" ht="20.100000000000001" customHeight="1" x14ac:dyDescent="0.2">
      <c r="A26" s="14"/>
      <c r="B26" s="44" t="s">
        <v>80</v>
      </c>
      <c r="C26" s="44" t="s">
        <v>81</v>
      </c>
      <c r="D26" s="44"/>
      <c r="E26" s="44"/>
      <c r="F26" s="44"/>
      <c r="G26" s="44"/>
      <c r="H26" s="44"/>
      <c r="I26" s="44"/>
      <c r="J26" s="45"/>
    </row>
    <row r="27" spans="1:10" ht="20.100000000000001" customHeight="1" thickBot="1" x14ac:dyDescent="0.25">
      <c r="A27" s="48">
        <v>16</v>
      </c>
      <c r="B27" s="38" t="str">
        <f>IF('Zwi.runde I'!G17&lt;'Zwi.runde I'!H17,'Zwi.runde I'!B17,'Zwi.runde I'!C17)</f>
        <v>Vierter A</v>
      </c>
      <c r="C27" s="38" t="str">
        <f>IF('Zwi.runde I'!G21&lt;'Zwi.runde I'!H21,'Zwi.runde I'!B21,'Zwi.runde I'!C21)</f>
        <v>Vierter C</v>
      </c>
      <c r="D27" s="38"/>
      <c r="E27" s="5">
        <v>1</v>
      </c>
      <c r="F27" s="5">
        <v>0</v>
      </c>
      <c r="G27" s="2">
        <f>IF(E27&gt;F27,2,IF(E27=F27,1,0))</f>
        <v>2</v>
      </c>
      <c r="H27" s="2">
        <f>IF(E27&lt;F27,2,IF(E27=F27,1,0))</f>
        <v>0</v>
      </c>
      <c r="I27" s="10">
        <v>0.61458333333333337</v>
      </c>
      <c r="J27" s="11" t="s">
        <v>44</v>
      </c>
    </row>
  </sheetData>
  <mergeCells count="4">
    <mergeCell ref="A22:J22"/>
    <mergeCell ref="A15:J15"/>
    <mergeCell ref="A8:J8"/>
    <mergeCell ref="A1:J1"/>
  </mergeCells>
  <pageMargins left="0.78740157499999996" right="0.78740157499999996" top="0.984251969" bottom="0.984251969" header="0.4921259845" footer="0.4921259845"/>
  <pageSetup paperSize="9" scale="92" orientation="landscape" horizontalDpi="300" verticalDpi="0" r:id="rId1"/>
  <headerFooter alignWithMargins="0">
    <oddHeader>&amp;C&amp;A / Endrunde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1">
    <pageSetUpPr fitToPage="1"/>
  </sheetPr>
  <dimension ref="A1:L27"/>
  <sheetViews>
    <sheetView zoomScale="85" workbookViewId="0">
      <selection sqref="A1:L1"/>
    </sheetView>
  </sheetViews>
  <sheetFormatPr baseColWidth="10" defaultRowHeight="12.75" x14ac:dyDescent="0.2"/>
  <cols>
    <col min="1" max="1" width="5.140625" bestFit="1" customWidth="1"/>
    <col min="2" max="4" width="18.7109375" customWidth="1"/>
    <col min="5" max="5" width="11.140625" customWidth="1"/>
    <col min="6" max="6" width="9.28515625" customWidth="1"/>
    <col min="7" max="7" width="9.7109375" customWidth="1"/>
    <col min="8" max="8" width="10.28515625" customWidth="1"/>
    <col min="9" max="9" width="9.85546875" customWidth="1"/>
    <col min="10" max="11" width="9.42578125" customWidth="1"/>
    <col min="12" max="12" width="10.5703125" customWidth="1"/>
  </cols>
  <sheetData>
    <row r="1" spans="1:12" ht="16.5" thickBot="1" x14ac:dyDescent="0.3">
      <c r="A1" s="71" t="s">
        <v>90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5"/>
    </row>
    <row r="2" spans="1:12" ht="51.75" thickBot="1" x14ac:dyDescent="0.25">
      <c r="A2" s="50" t="s">
        <v>82</v>
      </c>
      <c r="B2" s="51" t="s">
        <v>2</v>
      </c>
      <c r="C2" s="51" t="s">
        <v>3</v>
      </c>
      <c r="D2" s="51" t="s">
        <v>4</v>
      </c>
      <c r="E2" s="51" t="s">
        <v>105</v>
      </c>
      <c r="F2" s="51" t="s">
        <v>106</v>
      </c>
      <c r="G2" s="51" t="s">
        <v>107</v>
      </c>
      <c r="H2" s="51" t="s">
        <v>108</v>
      </c>
      <c r="I2" s="51" t="s">
        <v>109</v>
      </c>
      <c r="J2" s="51" t="s">
        <v>110</v>
      </c>
      <c r="K2" s="51" t="s">
        <v>9</v>
      </c>
      <c r="L2" s="52" t="s">
        <v>22</v>
      </c>
    </row>
    <row r="3" spans="1:12" ht="20.100000000000001" customHeight="1" x14ac:dyDescent="0.2">
      <c r="A3" s="12"/>
      <c r="B3" s="13" t="s">
        <v>97</v>
      </c>
      <c r="C3" s="13" t="s">
        <v>98</v>
      </c>
      <c r="D3" s="13"/>
      <c r="E3" s="13"/>
      <c r="F3" s="13"/>
      <c r="G3" s="13"/>
      <c r="H3" s="13"/>
      <c r="I3" s="13"/>
      <c r="J3" s="13"/>
      <c r="K3" s="13"/>
      <c r="L3" s="42"/>
    </row>
    <row r="4" spans="1:12" ht="20.100000000000001" customHeight="1" x14ac:dyDescent="0.2">
      <c r="A4" s="47">
        <v>13</v>
      </c>
      <c r="B4" s="35" t="str">
        <f>IF('Zwi.runde II'!G25&gt;'Zwi.runde II'!H25,'Zwi.runde II'!B25,'Zwi.runde II'!C25)</f>
        <v>Vierter B</v>
      </c>
      <c r="C4" s="35" t="str">
        <f>IF('Zwi.runde II'!G27&gt;'Zwi.runde II'!H27,'Zwi.runde II'!B27,'Zwi.runde II'!C27)</f>
        <v>Vierter A</v>
      </c>
      <c r="D4" s="35"/>
      <c r="E4" s="21"/>
      <c r="F4" s="21"/>
      <c r="G4" s="4">
        <v>1</v>
      </c>
      <c r="H4" s="4">
        <v>0</v>
      </c>
      <c r="I4" s="1">
        <f>IF(G4&gt;H4,2,IF(G4=H4,1,0))</f>
        <v>2</v>
      </c>
      <c r="J4" s="1">
        <f>IF(G4&lt;H4,2,IF(G4=H4,1,0))</f>
        <v>0</v>
      </c>
      <c r="K4" s="9"/>
      <c r="L4" s="8" t="s">
        <v>43</v>
      </c>
    </row>
    <row r="5" spans="1:12" ht="20.100000000000001" customHeight="1" x14ac:dyDescent="0.2">
      <c r="A5" s="14"/>
      <c r="B5" s="44" t="s">
        <v>101</v>
      </c>
      <c r="C5" s="44" t="s">
        <v>102</v>
      </c>
      <c r="D5" s="44"/>
      <c r="E5" s="44"/>
      <c r="F5" s="44"/>
      <c r="G5" s="44"/>
      <c r="H5" s="44"/>
      <c r="I5" s="44"/>
      <c r="J5" s="44"/>
      <c r="K5" s="44"/>
      <c r="L5" s="45"/>
    </row>
    <row r="6" spans="1:12" ht="20.100000000000001" customHeight="1" thickBot="1" x14ac:dyDescent="0.25">
      <c r="A6" s="48">
        <v>15</v>
      </c>
      <c r="B6" s="38" t="str">
        <f>IF('Zwi.runde II'!G25&lt;'Zwi.runde II'!H25,'Zwi.runde II'!B25,'Zwi.runde II'!C25)</f>
        <v>Vierter D</v>
      </c>
      <c r="C6" s="38" t="str">
        <f>IF('Zwi.runde II'!G27&lt;'Zwi.runde II'!H27,'Zwi.runde II'!B27,'Zwi.runde II'!C27)</f>
        <v>Vierter C</v>
      </c>
      <c r="D6" s="38"/>
      <c r="E6" s="22"/>
      <c r="F6" s="22"/>
      <c r="G6" s="5">
        <v>1</v>
      </c>
      <c r="H6" s="5">
        <v>0</v>
      </c>
      <c r="I6" s="2">
        <f>IF(G6&gt;H6,2,IF(G6=H6,1,0))</f>
        <v>2</v>
      </c>
      <c r="J6" s="2">
        <f>IF(G6&lt;H6,2,IF(G6=H6,1,0))</f>
        <v>0</v>
      </c>
      <c r="K6" s="10"/>
      <c r="L6" s="11" t="s">
        <v>44</v>
      </c>
    </row>
    <row r="7" spans="1:12" ht="13.5" thickBot="1" x14ac:dyDescent="0.25"/>
    <row r="8" spans="1:12" ht="16.5" thickBot="1" x14ac:dyDescent="0.3">
      <c r="A8" s="71" t="s">
        <v>89</v>
      </c>
      <c r="B8" s="74"/>
      <c r="C8" s="74"/>
      <c r="D8" s="74"/>
      <c r="E8" s="74"/>
      <c r="F8" s="74"/>
      <c r="G8" s="74"/>
      <c r="H8" s="74"/>
      <c r="I8" s="74"/>
      <c r="J8" s="74"/>
      <c r="K8" s="74"/>
      <c r="L8" s="75"/>
    </row>
    <row r="9" spans="1:12" ht="51.75" thickBot="1" x14ac:dyDescent="0.25">
      <c r="A9" s="50" t="s">
        <v>82</v>
      </c>
      <c r="B9" s="51" t="s">
        <v>2</v>
      </c>
      <c r="C9" s="51" t="s">
        <v>3</v>
      </c>
      <c r="D9" s="51" t="s">
        <v>4</v>
      </c>
      <c r="E9" s="51" t="s">
        <v>105</v>
      </c>
      <c r="F9" s="51" t="s">
        <v>106</v>
      </c>
      <c r="G9" s="51" t="s">
        <v>107</v>
      </c>
      <c r="H9" s="51" t="s">
        <v>108</v>
      </c>
      <c r="I9" s="51" t="s">
        <v>109</v>
      </c>
      <c r="J9" s="51" t="s">
        <v>110</v>
      </c>
      <c r="K9" s="51" t="s">
        <v>9</v>
      </c>
      <c r="L9" s="52" t="s">
        <v>22</v>
      </c>
    </row>
    <row r="10" spans="1:12" ht="20.100000000000001" customHeight="1" x14ac:dyDescent="0.2">
      <c r="A10" s="12"/>
      <c r="B10" s="13" t="s">
        <v>95</v>
      </c>
      <c r="C10" s="13" t="s">
        <v>96</v>
      </c>
      <c r="D10" s="13"/>
      <c r="E10" s="13"/>
      <c r="F10" s="13"/>
      <c r="G10" s="13"/>
      <c r="H10" s="13"/>
      <c r="I10" s="13"/>
      <c r="J10" s="13"/>
      <c r="K10" s="13"/>
      <c r="L10" s="42"/>
    </row>
    <row r="11" spans="1:12" ht="20.100000000000001" customHeight="1" x14ac:dyDescent="0.2">
      <c r="A11" s="47">
        <v>9</v>
      </c>
      <c r="B11" s="35" t="str">
        <f>IF('Zwi.runde II'!G18&gt;'Zwi.runde II'!H18,'Zwi.runde II'!B18,'Zwi.runde II'!C18)</f>
        <v>Dritter A</v>
      </c>
      <c r="C11" s="35" t="str">
        <f>IF('Zwi.runde II'!G20&gt;'Zwi.runde II'!H20,'Zwi.runde II'!B20,'Zwi.runde II'!C20)</f>
        <v>Dritter B</v>
      </c>
      <c r="D11" s="35"/>
      <c r="E11" s="21"/>
      <c r="F11" s="21"/>
      <c r="G11" s="4">
        <v>1</v>
      </c>
      <c r="H11" s="4">
        <v>0</v>
      </c>
      <c r="I11" s="1">
        <f>IF(G11&gt;H11,2,IF(G11=H11,1,0))</f>
        <v>2</v>
      </c>
      <c r="J11" s="1">
        <f>IF(G11&lt;H11,2,IF(G11=H11,1,0))</f>
        <v>0</v>
      </c>
      <c r="K11" s="9">
        <v>0.63541666666666663</v>
      </c>
      <c r="L11" s="8" t="s">
        <v>43</v>
      </c>
    </row>
    <row r="12" spans="1:12" ht="20.100000000000001" customHeight="1" x14ac:dyDescent="0.2">
      <c r="A12" s="14"/>
      <c r="B12" s="44" t="s">
        <v>99</v>
      </c>
      <c r="C12" s="44" t="s">
        <v>100</v>
      </c>
      <c r="D12" s="44"/>
      <c r="E12" s="44"/>
      <c r="F12" s="44"/>
      <c r="G12" s="44"/>
      <c r="H12" s="44"/>
      <c r="I12" s="44"/>
      <c r="J12" s="44"/>
      <c r="K12" s="44"/>
      <c r="L12" s="45"/>
    </row>
    <row r="13" spans="1:12" ht="20.100000000000001" customHeight="1" thickBot="1" x14ac:dyDescent="0.25">
      <c r="A13" s="48">
        <v>11</v>
      </c>
      <c r="B13" s="38" t="str">
        <f>IF('Zwi.runde II'!G18&lt;'Zwi.runde II'!H18,'Zwi.runde II'!B18,'Zwi.runde II'!C18)</f>
        <v>Dritter C</v>
      </c>
      <c r="C13" s="38" t="str">
        <f>IF('Zwi.runde II'!G20&lt;'Zwi.runde II'!H20,'Zwi.runde II'!B20,'Zwi.runde II'!C20)</f>
        <v>Dritter D</v>
      </c>
      <c r="D13" s="38"/>
      <c r="E13" s="22"/>
      <c r="F13" s="22"/>
      <c r="G13" s="5">
        <v>1</v>
      </c>
      <c r="H13" s="5">
        <v>0</v>
      </c>
      <c r="I13" s="2">
        <f>IF(G13&gt;H13,2,IF(G13=H13,1,0))</f>
        <v>2</v>
      </c>
      <c r="J13" s="2">
        <f>IF(G13&lt;H13,2,IF(G13=H13,1,0))</f>
        <v>0</v>
      </c>
      <c r="K13" s="10">
        <v>0.63541666666666663</v>
      </c>
      <c r="L13" s="11" t="s">
        <v>44</v>
      </c>
    </row>
    <row r="14" spans="1:12" ht="13.5" thickBot="1" x14ac:dyDescent="0.25"/>
    <row r="15" spans="1:12" ht="16.5" thickBot="1" x14ac:dyDescent="0.3">
      <c r="A15" s="71" t="s">
        <v>88</v>
      </c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5"/>
    </row>
    <row r="16" spans="1:12" ht="51.75" thickBot="1" x14ac:dyDescent="0.25">
      <c r="A16" s="50" t="s">
        <v>82</v>
      </c>
      <c r="B16" s="51" t="s">
        <v>2</v>
      </c>
      <c r="C16" s="51" t="s">
        <v>3</v>
      </c>
      <c r="D16" s="51" t="s">
        <v>4</v>
      </c>
      <c r="E16" s="51" t="s">
        <v>105</v>
      </c>
      <c r="F16" s="51" t="s">
        <v>106</v>
      </c>
      <c r="G16" s="51" t="s">
        <v>107</v>
      </c>
      <c r="H16" s="51" t="s">
        <v>108</v>
      </c>
      <c r="I16" s="51" t="s">
        <v>109</v>
      </c>
      <c r="J16" s="51" t="s">
        <v>110</v>
      </c>
      <c r="K16" s="51" t="s">
        <v>9</v>
      </c>
      <c r="L16" s="52" t="s">
        <v>22</v>
      </c>
    </row>
    <row r="17" spans="1:12" ht="20.100000000000001" customHeight="1" x14ac:dyDescent="0.2">
      <c r="A17" s="12"/>
      <c r="B17" s="13" t="s">
        <v>91</v>
      </c>
      <c r="C17" s="13" t="s">
        <v>92</v>
      </c>
      <c r="D17" s="13"/>
      <c r="E17" s="13"/>
      <c r="F17" s="13"/>
      <c r="G17" s="13"/>
      <c r="H17" s="13"/>
      <c r="I17" s="13"/>
      <c r="J17" s="13"/>
      <c r="K17" s="13"/>
      <c r="L17" s="42"/>
    </row>
    <row r="18" spans="1:12" ht="20.100000000000001" customHeight="1" x14ac:dyDescent="0.2">
      <c r="A18" s="47">
        <v>5</v>
      </c>
      <c r="B18" s="35" t="str">
        <f>IF('Zwi.runde II'!G11&gt;'Zwi.runde II'!H11,'Zwi.runde II'!B11,'Zwi.runde II'!C11)</f>
        <v>Zweiter B</v>
      </c>
      <c r="C18" s="35" t="str">
        <f>IF('Zwi.runde II'!G13&gt;'Zwi.runde II'!H13,'Zwi.runde II'!B13,'Zwi.runde II'!C13)</f>
        <v>Zweiter A</v>
      </c>
      <c r="D18" s="35"/>
      <c r="E18" s="21"/>
      <c r="F18" s="21"/>
      <c r="G18" s="4">
        <v>1</v>
      </c>
      <c r="H18" s="4">
        <v>0</v>
      </c>
      <c r="I18" s="1">
        <f>IF(G18&gt;H18,2,IF(G18=H18,1,0))</f>
        <v>2</v>
      </c>
      <c r="J18" s="1">
        <f>IF(G18&lt;H18,2,IF(G18=H18,1,0))</f>
        <v>0</v>
      </c>
      <c r="K18" s="9">
        <v>0.63541666666666663</v>
      </c>
      <c r="L18" s="8" t="s">
        <v>41</v>
      </c>
    </row>
    <row r="19" spans="1:12" ht="20.100000000000001" customHeight="1" x14ac:dyDescent="0.2">
      <c r="A19" s="14"/>
      <c r="B19" s="44" t="s">
        <v>93</v>
      </c>
      <c r="C19" s="44" t="s">
        <v>94</v>
      </c>
      <c r="D19" s="44"/>
      <c r="E19" s="44"/>
      <c r="F19" s="44"/>
      <c r="G19" s="44"/>
      <c r="H19" s="44"/>
      <c r="I19" s="44"/>
      <c r="J19" s="44"/>
      <c r="K19" s="44"/>
      <c r="L19" s="45"/>
    </row>
    <row r="20" spans="1:12" ht="20.100000000000001" customHeight="1" thickBot="1" x14ac:dyDescent="0.25">
      <c r="A20" s="48">
        <v>7</v>
      </c>
      <c r="B20" s="38" t="str">
        <f>IF('Zwi.runde II'!G11&lt;'Zwi.runde II'!H11,'Zwi.runde II'!B11,'Zwi.runde II'!C11)</f>
        <v>Zweiter D</v>
      </c>
      <c r="C20" s="38" t="str">
        <f>IF('Zwi.runde II'!G13&lt;'Zwi.runde II'!H13,'Zwi.runde II'!B13,'Zwi.runde II'!C13)</f>
        <v>Zweiter C</v>
      </c>
      <c r="D20" s="38"/>
      <c r="E20" s="22"/>
      <c r="F20" s="22"/>
      <c r="G20" s="5">
        <v>1</v>
      </c>
      <c r="H20" s="5">
        <v>0</v>
      </c>
      <c r="I20" s="2">
        <f>IF(G20&gt;H20,2,IF(G20=H20,1,0))</f>
        <v>2</v>
      </c>
      <c r="J20" s="2">
        <f>IF(G20&lt;H20,2,IF(G20=H20,1,0))</f>
        <v>0</v>
      </c>
      <c r="K20" s="10">
        <v>0.63541666666666663</v>
      </c>
      <c r="L20" s="11" t="s">
        <v>42</v>
      </c>
    </row>
    <row r="21" spans="1:12" ht="11.25" customHeight="1" thickBot="1" x14ac:dyDescent="0.25">
      <c r="A21" s="53"/>
      <c r="B21" s="54"/>
      <c r="C21" s="54"/>
      <c r="D21" s="54"/>
      <c r="E21" s="54"/>
      <c r="F21" s="54"/>
      <c r="G21" s="53"/>
      <c r="H21" s="53"/>
      <c r="I21" s="56"/>
      <c r="J21" s="56"/>
      <c r="K21" s="57"/>
      <c r="L21" s="55"/>
    </row>
    <row r="22" spans="1:12" ht="13.5" customHeight="1" thickBot="1" x14ac:dyDescent="0.3">
      <c r="A22" s="71" t="s">
        <v>87</v>
      </c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5"/>
    </row>
    <row r="23" spans="1:12" ht="51.75" thickBot="1" x14ac:dyDescent="0.25">
      <c r="A23" s="50" t="s">
        <v>82</v>
      </c>
      <c r="B23" s="51" t="s">
        <v>2</v>
      </c>
      <c r="C23" s="51" t="s">
        <v>3</v>
      </c>
      <c r="D23" s="51" t="s">
        <v>4</v>
      </c>
      <c r="E23" s="51" t="s">
        <v>105</v>
      </c>
      <c r="F23" s="51" t="s">
        <v>106</v>
      </c>
      <c r="G23" s="51" t="s">
        <v>107</v>
      </c>
      <c r="H23" s="51" t="s">
        <v>108</v>
      </c>
      <c r="I23" s="51" t="s">
        <v>109</v>
      </c>
      <c r="J23" s="51" t="s">
        <v>110</v>
      </c>
      <c r="K23" s="51" t="s">
        <v>9</v>
      </c>
      <c r="L23" s="52" t="s">
        <v>22</v>
      </c>
    </row>
    <row r="24" spans="1:12" ht="20.100000000000001" customHeight="1" x14ac:dyDescent="0.2">
      <c r="A24" s="12"/>
      <c r="B24" s="13" t="s">
        <v>83</v>
      </c>
      <c r="C24" s="13" t="s">
        <v>84</v>
      </c>
      <c r="D24" s="13"/>
      <c r="E24" s="13"/>
      <c r="F24" s="13"/>
      <c r="G24" s="13"/>
      <c r="H24" s="13"/>
      <c r="I24" s="13"/>
      <c r="J24" s="13"/>
      <c r="K24" s="13"/>
      <c r="L24" s="42"/>
    </row>
    <row r="25" spans="1:12" ht="20.100000000000001" customHeight="1" x14ac:dyDescent="0.2">
      <c r="A25" s="47">
        <v>1</v>
      </c>
      <c r="B25" s="35" t="str">
        <f>IF('Zwi.runde II'!G4&gt;'Zwi.runde II'!H4,'Zwi.runde II'!B4,'Zwi.runde II'!C4)</f>
        <v>Erster A</v>
      </c>
      <c r="C25" s="35" t="str">
        <f>IF('Zwi.runde II'!G6&gt;'Zwi.runde II'!H6,'Zwi.runde II'!B6,'Zwi.runde II'!C6)</f>
        <v>Erster B</v>
      </c>
      <c r="D25" s="35"/>
      <c r="E25" s="21"/>
      <c r="F25" s="21"/>
      <c r="G25" s="4">
        <v>1</v>
      </c>
      <c r="H25" s="4">
        <v>0</v>
      </c>
      <c r="I25" s="1">
        <f>IF(G25&gt;H25,2,IF(G25=H25,1,0))</f>
        <v>2</v>
      </c>
      <c r="J25" s="1">
        <f>IF(G25&lt;H25,2,IF(G25=H25,1,0))</f>
        <v>0</v>
      </c>
      <c r="K25" s="9"/>
      <c r="L25" s="8" t="s">
        <v>41</v>
      </c>
    </row>
    <row r="26" spans="1:12" ht="20.100000000000001" customHeight="1" x14ac:dyDescent="0.2">
      <c r="A26" s="14"/>
      <c r="B26" s="44" t="s">
        <v>85</v>
      </c>
      <c r="C26" s="44" t="s">
        <v>86</v>
      </c>
      <c r="D26" s="44"/>
      <c r="E26" s="44"/>
      <c r="F26" s="44"/>
      <c r="G26" s="44"/>
      <c r="H26" s="44"/>
      <c r="I26" s="44"/>
      <c r="J26" s="44"/>
      <c r="K26" s="44"/>
      <c r="L26" s="45"/>
    </row>
    <row r="27" spans="1:12" ht="20.100000000000001" customHeight="1" thickBot="1" x14ac:dyDescent="0.25">
      <c r="A27" s="48">
        <v>3</v>
      </c>
      <c r="B27" s="38" t="str">
        <f>IF('Zwi.runde II'!G4&lt;'Zwi.runde II'!H4,'Zwi.runde II'!B4,'Zwi.runde II'!C4)</f>
        <v>Erster C</v>
      </c>
      <c r="C27" s="38" t="str">
        <f>IF('Zwi.runde II'!G6&lt;'Zwi.runde II'!H6,'Zwi.runde II'!B6,'Zwi.runde II'!C6)</f>
        <v>Erster D</v>
      </c>
      <c r="D27" s="38"/>
      <c r="E27" s="22"/>
      <c r="F27" s="22"/>
      <c r="G27" s="5">
        <v>1</v>
      </c>
      <c r="H27" s="5">
        <v>0</v>
      </c>
      <c r="I27" s="2">
        <f>IF(G27&gt;H27,2,IF(G27=H27,1,0))</f>
        <v>2</v>
      </c>
      <c r="J27" s="2">
        <f>IF(G27&lt;H27,2,IF(G27=H27,1,0))</f>
        <v>0</v>
      </c>
      <c r="K27" s="10"/>
      <c r="L27" s="11" t="s">
        <v>42</v>
      </c>
    </row>
  </sheetData>
  <mergeCells count="4">
    <mergeCell ref="A22:L22"/>
    <mergeCell ref="A15:L15"/>
    <mergeCell ref="A8:L8"/>
    <mergeCell ref="A1:L1"/>
  </mergeCells>
  <pageMargins left="0.78740157499999996" right="0.78740157499999996" top="0.984251969" bottom="0.984251969" header="0.4921259845" footer="0.4921259845"/>
  <pageSetup paperSize="9" scale="87" orientation="landscape" horizontalDpi="300" verticalDpi="0" r:id="rId1"/>
  <headerFooter alignWithMargins="0">
    <oddHeader>&amp;C&amp;A / Endrunde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11">
    <pageSetUpPr fitToPage="1"/>
  </sheetPr>
  <dimension ref="A1:B51"/>
  <sheetViews>
    <sheetView zoomScale="85" workbookViewId="0">
      <selection sqref="A1:B1"/>
    </sheetView>
  </sheetViews>
  <sheetFormatPr baseColWidth="10" defaultRowHeight="12.75" x14ac:dyDescent="0.2"/>
  <cols>
    <col min="1" max="1" width="11" customWidth="1"/>
    <col min="2" max="2" width="56.28515625" customWidth="1"/>
    <col min="3" max="4" width="18.7109375" customWidth="1"/>
    <col min="6" max="6" width="17.42578125" customWidth="1"/>
    <col min="7" max="7" width="18.7109375" customWidth="1"/>
    <col min="8" max="8" width="10" bestFit="1" customWidth="1"/>
    <col min="9" max="9" width="9.5703125" customWidth="1"/>
    <col min="10" max="10" width="11" customWidth="1"/>
  </cols>
  <sheetData>
    <row r="1" spans="1:2" ht="26.25" customHeight="1" thickBot="1" x14ac:dyDescent="0.35">
      <c r="A1" s="76" t="s">
        <v>104</v>
      </c>
      <c r="B1" s="77"/>
    </row>
    <row r="2" spans="1:2" ht="20.100000000000001" customHeight="1" x14ac:dyDescent="0.25">
      <c r="A2" s="15" t="s">
        <v>15</v>
      </c>
      <c r="B2" s="16" t="s">
        <v>103</v>
      </c>
    </row>
    <row r="3" spans="1:2" ht="20.100000000000001" customHeight="1" x14ac:dyDescent="0.25">
      <c r="A3" s="17">
        <v>1</v>
      </c>
      <c r="B3" s="19" t="str">
        <f>IF(Finals!I25&gt;Finals!J25,Finals!B25,Finals!C25)</f>
        <v>Erster A</v>
      </c>
    </row>
    <row r="4" spans="1:2" ht="20.100000000000001" customHeight="1" x14ac:dyDescent="0.25">
      <c r="A4" s="17">
        <v>2</v>
      </c>
      <c r="B4" s="19" t="str">
        <f>IF(Finals!I25&lt;Finals!J25,Finals!B25,Finals!C25)</f>
        <v>Erster B</v>
      </c>
    </row>
    <row r="5" spans="1:2" ht="20.100000000000001" customHeight="1" x14ac:dyDescent="0.25">
      <c r="A5" s="17">
        <v>3</v>
      </c>
      <c r="B5" s="19" t="str">
        <f>IF(Finals!I27&gt;Finals!J27,Finals!B27,Finals!C27)</f>
        <v>Erster C</v>
      </c>
    </row>
    <row r="6" spans="1:2" ht="20.100000000000001" customHeight="1" x14ac:dyDescent="0.25">
      <c r="A6" s="17">
        <v>4</v>
      </c>
      <c r="B6" s="19" t="str">
        <f>IF(Finals!I27&lt;Finals!J27,Finals!B27,Finals!C27)</f>
        <v>Erster D</v>
      </c>
    </row>
    <row r="7" spans="1:2" ht="20.100000000000001" customHeight="1" x14ac:dyDescent="0.25">
      <c r="A7" s="17">
        <v>5</v>
      </c>
      <c r="B7" s="19" t="str">
        <f>IF(Finals!I18&gt;Finals!J18,Finals!B18,Finals!C18)</f>
        <v>Zweiter B</v>
      </c>
    </row>
    <row r="8" spans="1:2" ht="20.100000000000001" customHeight="1" x14ac:dyDescent="0.25">
      <c r="A8" s="17">
        <v>6</v>
      </c>
      <c r="B8" s="19" t="str">
        <f>IF(Finals!I18&lt;Finals!J18,Finals!B18,Finals!C18)</f>
        <v>Zweiter A</v>
      </c>
    </row>
    <row r="9" spans="1:2" ht="20.100000000000001" customHeight="1" x14ac:dyDescent="0.25">
      <c r="A9" s="17">
        <v>7</v>
      </c>
      <c r="B9" s="19" t="str">
        <f>IF(Finals!I20&gt;Finals!J20,Finals!B20,Finals!C20)</f>
        <v>Zweiter D</v>
      </c>
    </row>
    <row r="10" spans="1:2" ht="20.100000000000001" customHeight="1" x14ac:dyDescent="0.25">
      <c r="A10" s="17">
        <v>8</v>
      </c>
      <c r="B10" s="19" t="str">
        <f>IF(Finals!I20&lt;Finals!J20,Finals!B20,Finals!C20)</f>
        <v>Zweiter C</v>
      </c>
    </row>
    <row r="11" spans="1:2" ht="20.100000000000001" customHeight="1" x14ac:dyDescent="0.25">
      <c r="A11" s="17">
        <v>9</v>
      </c>
      <c r="B11" s="19" t="str">
        <f>IF(Finals!I11&gt;Finals!J11,Finals!B11,Finals!C11)</f>
        <v>Dritter A</v>
      </c>
    </row>
    <row r="12" spans="1:2" ht="20.100000000000001" customHeight="1" x14ac:dyDescent="0.25">
      <c r="A12" s="17">
        <v>10</v>
      </c>
      <c r="B12" s="19" t="str">
        <f>IF(Finals!I11&lt;Finals!J11,Finals!B11,Finals!C11)</f>
        <v>Dritter B</v>
      </c>
    </row>
    <row r="13" spans="1:2" ht="20.100000000000001" customHeight="1" x14ac:dyDescent="0.25">
      <c r="A13" s="17">
        <v>11</v>
      </c>
      <c r="B13" s="19" t="str">
        <f>IF(Finals!I13&gt;Finals!J13,Finals!B13,Finals!C13)</f>
        <v>Dritter C</v>
      </c>
    </row>
    <row r="14" spans="1:2" ht="20.100000000000001" customHeight="1" x14ac:dyDescent="0.25">
      <c r="A14" s="17">
        <v>12</v>
      </c>
      <c r="B14" s="19" t="str">
        <f>IF(Finals!I13&lt;Finals!J13,Finals!B13,Finals!C13)</f>
        <v>Dritter D</v>
      </c>
    </row>
    <row r="15" spans="1:2" ht="20.100000000000001" customHeight="1" x14ac:dyDescent="0.25">
      <c r="A15" s="17">
        <v>13</v>
      </c>
      <c r="B15" s="19" t="str">
        <f>IF(Finals!I4&gt;Finals!J4,Finals!B4,Finals!C4)</f>
        <v>Vierter B</v>
      </c>
    </row>
    <row r="16" spans="1:2" ht="20.100000000000001" customHeight="1" x14ac:dyDescent="0.25">
      <c r="A16" s="17">
        <v>14</v>
      </c>
      <c r="B16" s="19" t="str">
        <f>IF(Finals!I4&lt;Finals!J4,Finals!B4,Finals!C4)</f>
        <v>Vierter A</v>
      </c>
    </row>
    <row r="17" spans="1:2" ht="20.100000000000001" customHeight="1" x14ac:dyDescent="0.25">
      <c r="A17" s="17">
        <v>15</v>
      </c>
      <c r="B17" s="19" t="str">
        <f>IF(Finals!I6&gt;Finals!J6,Finals!B6,Finals!C6)</f>
        <v>Vierter D</v>
      </c>
    </row>
    <row r="18" spans="1:2" ht="20.100000000000001" customHeight="1" thickBot="1" x14ac:dyDescent="0.3">
      <c r="A18" s="18">
        <v>16</v>
      </c>
      <c r="B18" s="20" t="str">
        <f>IF(Finals!I6&lt;Finals!J6,Finals!B6,Finals!C6)</f>
        <v>Vierter C</v>
      </c>
    </row>
    <row r="19" spans="1:2" ht="20.100000000000001" customHeight="1" x14ac:dyDescent="0.2"/>
    <row r="20" spans="1:2" ht="20.100000000000001" customHeight="1" x14ac:dyDescent="0.2"/>
    <row r="21" spans="1:2" ht="20.100000000000001" customHeight="1" x14ac:dyDescent="0.2"/>
    <row r="22" spans="1:2" ht="20.100000000000001" customHeight="1" x14ac:dyDescent="0.2"/>
    <row r="23" spans="1:2" ht="20.100000000000001" customHeight="1" x14ac:dyDescent="0.2"/>
    <row r="24" spans="1:2" ht="20.100000000000001" customHeight="1" x14ac:dyDescent="0.2"/>
    <row r="25" spans="1:2" ht="20.100000000000001" customHeight="1" x14ac:dyDescent="0.2"/>
    <row r="26" spans="1:2" ht="20.100000000000001" customHeight="1" x14ac:dyDescent="0.2"/>
    <row r="27" spans="1:2" ht="20.100000000000001" customHeight="1" x14ac:dyDescent="0.2"/>
    <row r="28" spans="1:2" ht="20.100000000000001" customHeight="1" x14ac:dyDescent="0.2"/>
    <row r="29" spans="1:2" ht="20.100000000000001" customHeight="1" x14ac:dyDescent="0.2"/>
    <row r="30" spans="1:2" ht="20.100000000000001" customHeight="1" x14ac:dyDescent="0.2"/>
    <row r="31" spans="1:2" ht="20.100000000000001" customHeight="1" x14ac:dyDescent="0.2"/>
    <row r="32" spans="1:2" ht="20.100000000000001" customHeight="1" x14ac:dyDescent="0.2"/>
    <row r="33" ht="20.100000000000001" customHeight="1" x14ac:dyDescent="0.2"/>
    <row r="34" ht="20.100000000000001" customHeight="1" x14ac:dyDescent="0.2"/>
    <row r="35" ht="20.100000000000001" customHeight="1" x14ac:dyDescent="0.2"/>
    <row r="36" ht="20.100000000000001" customHeight="1" x14ac:dyDescent="0.2"/>
    <row r="37" ht="20.100000000000001" customHeight="1" x14ac:dyDescent="0.2"/>
    <row r="38" ht="20.100000000000001" customHeight="1" x14ac:dyDescent="0.2"/>
    <row r="39" ht="20.100000000000001" customHeight="1" x14ac:dyDescent="0.2"/>
    <row r="40" ht="20.100000000000001" customHeight="1" x14ac:dyDescent="0.2"/>
    <row r="41" ht="20.100000000000001" customHeight="1" x14ac:dyDescent="0.2"/>
    <row r="42" ht="20.100000000000001" customHeight="1" x14ac:dyDescent="0.2"/>
    <row r="43" ht="20.100000000000001" customHeight="1" x14ac:dyDescent="0.2"/>
    <row r="44" ht="20.100000000000001" customHeight="1" x14ac:dyDescent="0.2"/>
    <row r="45" ht="20.100000000000001" customHeight="1" x14ac:dyDescent="0.2"/>
    <row r="46" ht="20.100000000000001" customHeight="1" x14ac:dyDescent="0.2"/>
    <row r="47" ht="20.100000000000001" customHeight="1" x14ac:dyDescent="0.2"/>
    <row r="48" ht="20.100000000000001" customHeight="1" x14ac:dyDescent="0.2"/>
    <row r="49" ht="20.100000000000001" customHeight="1" x14ac:dyDescent="0.2"/>
    <row r="50" ht="20.100000000000001" customHeight="1" x14ac:dyDescent="0.2"/>
    <row r="51" ht="20.100000000000001" customHeight="1" x14ac:dyDescent="0.2"/>
  </sheetData>
  <mergeCells count="1">
    <mergeCell ref="A1:B1"/>
  </mergeCells>
  <pageMargins left="0.78740157499999996" right="0.78740157499999996" top="0.984251969" bottom="0.984251969" header="0.4921259845" footer="0.4921259845"/>
  <pageSetup paperSize="9" orientation="landscape" horizontalDpi="300" verticalDpi="0" r:id="rId1"/>
  <headerFooter alignWithMargins="0">
    <oddHeader>&amp;C&amp;A / Endrunde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2.75" x14ac:dyDescent="0.2"/>
  <sheetData>
    <row r="1" spans="1:1" x14ac:dyDescent="0.2">
      <c r="A1" t="s">
        <v>111</v>
      </c>
    </row>
    <row r="3" spans="1:1" x14ac:dyDescent="0.2">
      <c r="A3" s="58" t="s">
        <v>115</v>
      </c>
    </row>
    <row r="4" spans="1:1" x14ac:dyDescent="0.2">
      <c r="A4" s="58" t="s">
        <v>112</v>
      </c>
    </row>
    <row r="5" spans="1:1" x14ac:dyDescent="0.2">
      <c r="A5" s="58" t="s">
        <v>113</v>
      </c>
    </row>
    <row r="6" spans="1:1" x14ac:dyDescent="0.2">
      <c r="A6" s="58" t="s">
        <v>114</v>
      </c>
    </row>
    <row r="8" spans="1:1" x14ac:dyDescent="0.2">
      <c r="A8" s="59" t="s">
        <v>116</v>
      </c>
    </row>
    <row r="9" spans="1:1" x14ac:dyDescent="0.2">
      <c r="A9" t="s">
        <v>117</v>
      </c>
    </row>
    <row r="10" spans="1:1" x14ac:dyDescent="0.2">
      <c r="A10" t="s">
        <v>118</v>
      </c>
    </row>
  </sheetData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Gruppe A</vt:lpstr>
      <vt:lpstr>Gruppe B</vt:lpstr>
      <vt:lpstr>Gruppe C</vt:lpstr>
      <vt:lpstr>Gruppe D</vt:lpstr>
      <vt:lpstr>Zwi.runde I</vt:lpstr>
      <vt:lpstr>Zwi.runde II</vt:lpstr>
      <vt:lpstr>Finals</vt:lpstr>
      <vt:lpstr>Endstand</vt:lpstr>
      <vt:lpstr>Modus</vt:lpstr>
    </vt:vector>
  </TitlesOfParts>
  <Manager/>
  <Company>axuno gGmbH</Company>
  <LinksUpToDate>false</LinksUpToDate>
  <SharedDoc>false</SharedDoc>
  <HyperlinkBase>http://www.volleyball-turnier.de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Turnierauswertung für 16 Mannschaften auf 4 Feldern</dc:title>
  <dc:creator>axuno gGmbH</dc:creator>
  <cp:lastModifiedBy>axuno gGmbH</cp:lastModifiedBy>
  <cp:lastPrinted>2015-03-25T22:20:35Z</cp:lastPrinted>
  <dcterms:created xsi:type="dcterms:W3CDTF">2013-04-04T17:00:00Z</dcterms:created>
  <dcterms:modified xsi:type="dcterms:W3CDTF">2016-05-07T19:35:24Z</dcterms:modified>
</cp:coreProperties>
</file>