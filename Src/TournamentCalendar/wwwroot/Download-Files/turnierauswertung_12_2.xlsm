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DieseArbeitsmappe"/>
  <mc:AlternateContent xmlns:mc="http://schemas.openxmlformats.org/markup-compatibility/2006">
    <mc:Choice Requires="x15">
      <x15ac:absPath xmlns:x15ac="http://schemas.microsoft.com/office/spreadsheetml/2010/11/ac" url="D:\Internet\Websites\volleyball-mixedliga.de\Web\Download-Files\"/>
    </mc:Choice>
  </mc:AlternateContent>
  <bookViews>
    <workbookView xWindow="-15" yWindow="4740" windowWidth="15330" windowHeight="4785"/>
  </bookViews>
  <sheets>
    <sheet name="Gruppe A" sheetId="1" r:id="rId1"/>
    <sheet name="Gruppe B" sheetId="12" r:id="rId2"/>
    <sheet name="Überkreuz" sheetId="3" r:id="rId3"/>
    <sheet name="Platzierung" sheetId="10" r:id="rId4"/>
    <sheet name="Endergebnis" sheetId="11" r:id="rId5"/>
    <sheet name="Modus" sheetId="13" r:id="rId6"/>
  </sheets>
  <calcPr calcId="152511"/>
</workbook>
</file>

<file path=xl/calcChain.xml><?xml version="1.0" encoding="utf-8"?>
<calcChain xmlns="http://schemas.openxmlformats.org/spreadsheetml/2006/main">
  <c r="A11" i="1" l="1"/>
  <c r="B11" i="1"/>
  <c r="C11" i="1"/>
  <c r="F11" i="1"/>
  <c r="G11" i="1"/>
  <c r="D30" i="1" s="1"/>
  <c r="A12" i="1"/>
  <c r="B12" i="1"/>
  <c r="C12" i="1"/>
  <c r="F12" i="1"/>
  <c r="E32" i="1" s="1"/>
  <c r="G12" i="1"/>
  <c r="D32" i="1" s="1"/>
  <c r="G32" i="1" s="1"/>
  <c r="H12" i="1"/>
  <c r="H13" i="1" s="1"/>
  <c r="H14" i="1" s="1"/>
  <c r="H15" i="1" s="1"/>
  <c r="H16" i="1" s="1"/>
  <c r="H17" i="1" s="1"/>
  <c r="H18" i="1" s="1"/>
  <c r="H19" i="1" s="1"/>
  <c r="H20" i="1" s="1"/>
  <c r="H21" i="1" s="1"/>
  <c r="H22" i="1" s="1"/>
  <c r="H23" i="1" s="1"/>
  <c r="H24" i="1" s="1"/>
  <c r="H25" i="1" s="1"/>
  <c r="A13" i="1"/>
  <c r="B13" i="1"/>
  <c r="C13" i="1"/>
  <c r="F13" i="1"/>
  <c r="G13" i="1"/>
  <c r="A14" i="1"/>
  <c r="B14" i="1"/>
  <c r="C14" i="1"/>
  <c r="F14" i="1"/>
  <c r="G14" i="1"/>
  <c r="E30" i="1" s="1"/>
  <c r="A15" i="1"/>
  <c r="B15" i="1"/>
  <c r="C15" i="1"/>
  <c r="F15" i="1"/>
  <c r="G15" i="1"/>
  <c r="A16" i="1"/>
  <c r="B16" i="1"/>
  <c r="C16" i="1"/>
  <c r="F16" i="1"/>
  <c r="E33" i="1" s="1"/>
  <c r="G16" i="1"/>
  <c r="D33" i="1" s="1"/>
  <c r="G33" i="1" s="1"/>
  <c r="A17" i="1"/>
  <c r="B17" i="1"/>
  <c r="C17" i="1"/>
  <c r="F17" i="1"/>
  <c r="G17" i="1"/>
  <c r="A18" i="1"/>
  <c r="B18" i="1"/>
  <c r="C18" i="1"/>
  <c r="F18" i="1"/>
  <c r="G18" i="1"/>
  <c r="A19" i="1"/>
  <c r="B19" i="1"/>
  <c r="C19" i="1"/>
  <c r="F19" i="1"/>
  <c r="G19" i="1"/>
  <c r="A20" i="1"/>
  <c r="B20" i="1"/>
  <c r="C20" i="1"/>
  <c r="F20" i="1"/>
  <c r="G20" i="1"/>
  <c r="A21" i="1"/>
  <c r="B21" i="1"/>
  <c r="C21" i="1"/>
  <c r="F21" i="1"/>
  <c r="G21" i="1"/>
  <c r="A22" i="1"/>
  <c r="B22" i="1"/>
  <c r="C22" i="1"/>
  <c r="F22" i="1"/>
  <c r="G22" i="1"/>
  <c r="D34" i="1" s="1"/>
  <c r="G34" i="1" s="1"/>
  <c r="A23" i="1"/>
  <c r="B23" i="1"/>
  <c r="C23" i="1"/>
  <c r="F23" i="1"/>
  <c r="G23" i="1"/>
  <c r="A24" i="1"/>
  <c r="B24" i="1"/>
  <c r="C24" i="1"/>
  <c r="F24" i="1"/>
  <c r="G24" i="1"/>
  <c r="D29" i="1" s="1"/>
  <c r="G29" i="1" s="1"/>
  <c r="A25" i="1"/>
  <c r="B25" i="1"/>
  <c r="C25" i="1"/>
  <c r="F25" i="1"/>
  <c r="G25" i="1"/>
  <c r="A29" i="1"/>
  <c r="B29" i="1"/>
  <c r="C29" i="1"/>
  <c r="E29" i="1"/>
  <c r="F29" i="1"/>
  <c r="A30" i="1"/>
  <c r="B30" i="1"/>
  <c r="F30" i="1" s="1"/>
  <c r="C30" i="1"/>
  <c r="A31" i="1"/>
  <c r="B9" i="3" s="1"/>
  <c r="B31" i="1"/>
  <c r="F31" i="1" s="1"/>
  <c r="C31" i="1"/>
  <c r="D31" i="1"/>
  <c r="A32" i="1"/>
  <c r="B32" i="1"/>
  <c r="C32" i="1"/>
  <c r="F32" i="1"/>
  <c r="A33" i="1"/>
  <c r="B13" i="3" s="1"/>
  <c r="B5" i="10" s="1"/>
  <c r="B11" i="11" s="1"/>
  <c r="B33" i="1"/>
  <c r="F33" i="1" s="1"/>
  <c r="C33" i="1"/>
  <c r="A34" i="1"/>
  <c r="B34" i="1"/>
  <c r="C34" i="1"/>
  <c r="E34" i="1"/>
  <c r="F34" i="1"/>
  <c r="A11" i="12"/>
  <c r="B11" i="12"/>
  <c r="C11" i="12"/>
  <c r="F11" i="12"/>
  <c r="E30" i="12" s="1"/>
  <c r="G11" i="12"/>
  <c r="A12" i="12"/>
  <c r="B12" i="12"/>
  <c r="C12" i="12"/>
  <c r="F12" i="12"/>
  <c r="E32" i="12" s="1"/>
  <c r="G12" i="12"/>
  <c r="D32" i="12" s="1"/>
  <c r="G32" i="12" s="1"/>
  <c r="H12" i="12"/>
  <c r="H13" i="12" s="1"/>
  <c r="H14" i="12" s="1"/>
  <c r="H15" i="12" s="1"/>
  <c r="H16" i="12" s="1"/>
  <c r="H17" i="12" s="1"/>
  <c r="H18" i="12" s="1"/>
  <c r="H19" i="12" s="1"/>
  <c r="H20" i="12" s="1"/>
  <c r="H21" i="12" s="1"/>
  <c r="H22" i="12" s="1"/>
  <c r="H23" i="12" s="1"/>
  <c r="H24" i="12" s="1"/>
  <c r="H25" i="12" s="1"/>
  <c r="A13" i="12"/>
  <c r="B13" i="12"/>
  <c r="C13" i="12"/>
  <c r="F13" i="12"/>
  <c r="G13" i="12"/>
  <c r="E33" i="12" s="1"/>
  <c r="A14" i="12"/>
  <c r="B14" i="12"/>
  <c r="C14" i="12"/>
  <c r="F14" i="12"/>
  <c r="D30" i="12" s="1"/>
  <c r="G30" i="12" s="1"/>
  <c r="G14" i="12"/>
  <c r="A15" i="12"/>
  <c r="B15" i="12"/>
  <c r="C15" i="12"/>
  <c r="F15" i="12"/>
  <c r="G15" i="12"/>
  <c r="A16" i="12"/>
  <c r="B16" i="12"/>
  <c r="C16" i="12"/>
  <c r="F16" i="12"/>
  <c r="G16" i="12"/>
  <c r="D33" i="12" s="1"/>
  <c r="G33" i="12" s="1"/>
  <c r="A17" i="12"/>
  <c r="B17" i="12"/>
  <c r="C17" i="12"/>
  <c r="F17" i="12"/>
  <c r="G17" i="12"/>
  <c r="A18" i="12"/>
  <c r="B18" i="12"/>
  <c r="C18" i="12"/>
  <c r="F18" i="12"/>
  <c r="G18" i="12"/>
  <c r="A19" i="12"/>
  <c r="B19" i="12"/>
  <c r="C19" i="12"/>
  <c r="F19" i="12"/>
  <c r="G19" i="12"/>
  <c r="A20" i="12"/>
  <c r="B20" i="12"/>
  <c r="C20" i="12"/>
  <c r="F20" i="12"/>
  <c r="G20" i="12"/>
  <c r="A21" i="12"/>
  <c r="B21" i="12"/>
  <c r="C21" i="12"/>
  <c r="F21" i="12"/>
  <c r="G21" i="12"/>
  <c r="A22" i="12"/>
  <c r="B22" i="12"/>
  <c r="C22" i="12"/>
  <c r="F22" i="12"/>
  <c r="G22" i="12"/>
  <c r="D34" i="12" s="1"/>
  <c r="G34" i="12" s="1"/>
  <c r="A23" i="12"/>
  <c r="B23" i="12"/>
  <c r="C23" i="12"/>
  <c r="F23" i="12"/>
  <c r="G23" i="12"/>
  <c r="A24" i="12"/>
  <c r="B24" i="12"/>
  <c r="C24" i="12"/>
  <c r="F24" i="12"/>
  <c r="G24" i="12"/>
  <c r="D29" i="12" s="1"/>
  <c r="G29" i="12" s="1"/>
  <c r="A25" i="12"/>
  <c r="B25" i="12"/>
  <c r="C25" i="12"/>
  <c r="F25" i="12"/>
  <c r="G25" i="12"/>
  <c r="A29" i="12"/>
  <c r="B29" i="12"/>
  <c r="C29" i="12"/>
  <c r="E29" i="12"/>
  <c r="F29" i="12"/>
  <c r="A30" i="12"/>
  <c r="D9" i="3" s="1"/>
  <c r="B30" i="12"/>
  <c r="C30" i="12"/>
  <c r="F30" i="12"/>
  <c r="A31" i="12"/>
  <c r="B31" i="12"/>
  <c r="C31" i="12"/>
  <c r="F31" i="12" s="1"/>
  <c r="D31" i="12"/>
  <c r="G31" i="12" s="1"/>
  <c r="E31" i="12"/>
  <c r="A32" i="12"/>
  <c r="C9" i="3" s="1"/>
  <c r="B32" i="12"/>
  <c r="F32" i="12" s="1"/>
  <c r="C32" i="12"/>
  <c r="A33" i="12"/>
  <c r="B33" i="12"/>
  <c r="F33" i="12" s="1"/>
  <c r="C33" i="12"/>
  <c r="A34" i="12"/>
  <c r="B34" i="12"/>
  <c r="C34" i="12"/>
  <c r="E34" i="12"/>
  <c r="F34" i="12"/>
  <c r="I5" i="10"/>
  <c r="J5" i="10"/>
  <c r="I7" i="10"/>
  <c r="B14" i="11" s="1"/>
  <c r="J7" i="10"/>
  <c r="C13" i="10"/>
  <c r="D13" i="10"/>
  <c r="I13" i="10"/>
  <c r="J13" i="10"/>
  <c r="I15" i="10"/>
  <c r="J15" i="10"/>
  <c r="I21" i="10"/>
  <c r="J21" i="10"/>
  <c r="I23" i="10"/>
  <c r="J23" i="10"/>
  <c r="B5" i="3"/>
  <c r="D5" i="3"/>
  <c r="G5" i="3"/>
  <c r="H5" i="3"/>
  <c r="B7" i="3"/>
  <c r="C21" i="10" s="1"/>
  <c r="C7" i="3"/>
  <c r="D7" i="3"/>
  <c r="G7" i="3"/>
  <c r="D5" i="10" s="1"/>
  <c r="H7" i="3"/>
  <c r="D7" i="10" s="1"/>
  <c r="G9" i="3"/>
  <c r="H9" i="3"/>
  <c r="I9" i="3"/>
  <c r="B11" i="3"/>
  <c r="C11" i="3"/>
  <c r="D11" i="3"/>
  <c r="G11" i="3"/>
  <c r="C15" i="10" s="1"/>
  <c r="B10" i="11" s="1"/>
  <c r="H11" i="3"/>
  <c r="I11" i="3"/>
  <c r="I15" i="3" s="1"/>
  <c r="C13" i="3"/>
  <c r="D13" i="3"/>
  <c r="G13" i="3"/>
  <c r="B7" i="10" s="1"/>
  <c r="B13" i="11" s="1"/>
  <c r="H13" i="3"/>
  <c r="B15" i="3"/>
  <c r="C15" i="3"/>
  <c r="D15" i="3"/>
  <c r="G15" i="3"/>
  <c r="C7" i="10" s="1"/>
  <c r="H15" i="3"/>
  <c r="D23" i="10" l="1"/>
  <c r="B3" i="11"/>
  <c r="G30" i="1"/>
  <c r="G31" i="1"/>
  <c r="D15" i="10"/>
  <c r="B13" i="10"/>
  <c r="B7" i="11" s="1"/>
  <c r="D21" i="10"/>
  <c r="C5" i="10"/>
  <c r="B12" i="11" s="1"/>
  <c r="E31" i="1"/>
  <c r="B21" i="10"/>
  <c r="C5" i="3"/>
  <c r="B23" i="10" s="1"/>
  <c r="B5" i="11" s="1"/>
  <c r="B8" i="11"/>
  <c r="I13" i="3"/>
  <c r="B15" i="10"/>
  <c r="B9" i="11" s="1"/>
  <c r="B4" i="11"/>
  <c r="C23" i="10"/>
  <c r="B6" i="11" s="1"/>
</calcChain>
</file>

<file path=xl/sharedStrings.xml><?xml version="1.0" encoding="utf-8"?>
<sst xmlns="http://schemas.openxmlformats.org/spreadsheetml/2006/main" count="166" uniqueCount="85">
  <si>
    <t>Tabelle</t>
  </si>
  <si>
    <t>Spielplan Vorrunde</t>
  </si>
  <si>
    <t>Mannschaft 1</t>
  </si>
  <si>
    <t>Mannschaft 2</t>
  </si>
  <si>
    <t>Schiedsrichter</t>
  </si>
  <si>
    <t>Bälle M1</t>
  </si>
  <si>
    <t>Bälle M2</t>
  </si>
  <si>
    <t>Punkte M1</t>
  </si>
  <si>
    <t>Punkte M2</t>
  </si>
  <si>
    <t>Zeit</t>
  </si>
  <si>
    <t>Platz</t>
  </si>
  <si>
    <t>Mannschaften Gruppe A</t>
  </si>
  <si>
    <t>Erster Gruppe A</t>
  </si>
  <si>
    <t>Erster Gruppe B</t>
  </si>
  <si>
    <t>Zweiter Gruppe A</t>
  </si>
  <si>
    <t>Spiel</t>
  </si>
  <si>
    <t>Sieger Spiel 1</t>
  </si>
  <si>
    <t>Sieger Spiel 2</t>
  </si>
  <si>
    <t>Sieger Spiel 3</t>
  </si>
  <si>
    <t>Sieger Spiel 4</t>
  </si>
  <si>
    <t>Verlierer Spiel 1</t>
  </si>
  <si>
    <t>Erster B</t>
  </si>
  <si>
    <t>Zweiter B</t>
  </si>
  <si>
    <t>Dritter B</t>
  </si>
  <si>
    <t>Vierter B</t>
  </si>
  <si>
    <t>Verlierer Spiel 3</t>
  </si>
  <si>
    <t>Verlierer Spiel 2</t>
  </si>
  <si>
    <t>Verlierer Spiel 4</t>
  </si>
  <si>
    <t>Sieger Spiel 5</t>
  </si>
  <si>
    <t>Sieger Spiel 6</t>
  </si>
  <si>
    <t>Verlierer Spiel 5</t>
  </si>
  <si>
    <t>Verlierer Spiel 6</t>
  </si>
  <si>
    <t>Spiel
um
Platz</t>
  </si>
  <si>
    <t>Plätze 1-4</t>
  </si>
  <si>
    <t>Plätze 5-8</t>
  </si>
  <si>
    <t>Plätze 9-12</t>
  </si>
  <si>
    <t>Mannschaft</t>
  </si>
  <si>
    <t>Balldifferenz</t>
  </si>
  <si>
    <t>Punktediff.</t>
  </si>
  <si>
    <t>Überkreuzspiele</t>
  </si>
  <si>
    <t>Zweiter Gruppe B</t>
  </si>
  <si>
    <t>Dritter Gruppe A</t>
  </si>
  <si>
    <t>Vierter Gruppe B</t>
  </si>
  <si>
    <t>Dritter Gruppe B</t>
  </si>
  <si>
    <t>Vierter Gruppe A</t>
  </si>
  <si>
    <t>Fünfter Gruppe A</t>
  </si>
  <si>
    <t>Sechster Gruppe B</t>
  </si>
  <si>
    <t>Fünfter Gruppe B</t>
  </si>
  <si>
    <t>Sechster Gruppe A</t>
  </si>
  <si>
    <t>Endergebnis</t>
  </si>
  <si>
    <t>Feld</t>
  </si>
  <si>
    <t>Bälle gewonnen</t>
  </si>
  <si>
    <t>Bälle verloren</t>
  </si>
  <si>
    <t>Punkte gew.</t>
  </si>
  <si>
    <t>Punkte verl.</t>
  </si>
  <si>
    <t>A</t>
  </si>
  <si>
    <t>B</t>
  </si>
  <si>
    <t>Erster A</t>
  </si>
  <si>
    <t>Zweiter A</t>
  </si>
  <si>
    <t>Dritter A</t>
  </si>
  <si>
    <t>Vierter A</t>
  </si>
  <si>
    <t>Fünfter A</t>
  </si>
  <si>
    <t>Sechster A</t>
  </si>
  <si>
    <t>Fünfter B</t>
  </si>
  <si>
    <t>Sechster B</t>
  </si>
  <si>
    <t>Modus:</t>
  </si>
  <si>
    <r>
      <t>Mittagspause:</t>
    </r>
    <r>
      <rPr>
        <sz val="10"/>
        <rFont val="Arial"/>
      </rPr>
      <t xml:space="preserve"> 13:00 bis 13:30 Uhr</t>
    </r>
  </si>
  <si>
    <r>
      <t>Modus:</t>
    </r>
    <r>
      <rPr>
        <sz val="10"/>
        <rFont val="Arial"/>
      </rPr>
      <t xml:space="preserve"> 2 x 12 Minuten, dazwischen 1 Minute für Seitenwechsel = 25 Minuten</t>
    </r>
  </si>
  <si>
    <t>Spiel mit 12 Minuten Dauer.</t>
  </si>
  <si>
    <r>
      <t>Modus:</t>
    </r>
    <r>
      <rPr>
        <sz val="10"/>
        <rFont val="Arial"/>
      </rPr>
      <t xml:space="preserve"> 2 Gewinnsätze à 25 Punkte, ggf. entscheidender 3. Satz im Tie-Break (15 Punkte)</t>
    </r>
  </si>
  <si>
    <t>Mannschaften Gruppe B</t>
  </si>
  <si>
    <t>Ball-
punkte
M1</t>
  </si>
  <si>
    <t>Ball-
punkte
M2</t>
  </si>
  <si>
    <t>Satz-
punkte
M1</t>
  </si>
  <si>
    <t>Satz-
punkte
M2</t>
  </si>
  <si>
    <t>Spiel-
punkte
M1</t>
  </si>
  <si>
    <t>Spiel-
punkte
M2</t>
  </si>
  <si>
    <t>x</t>
  </si>
  <si>
    <r>
      <t>Vorrunde:</t>
    </r>
    <r>
      <rPr>
        <sz val="10"/>
        <rFont val="Arial"/>
        <family val="2"/>
      </rPr>
      <t xml:space="preserve"> 2 Gruppen zu 6 Mannschaften - jeder gegen jeden</t>
    </r>
  </si>
  <si>
    <r>
      <t>Zwischenrunde:</t>
    </r>
    <r>
      <rPr>
        <sz val="10"/>
        <rFont val="Arial"/>
        <family val="2"/>
      </rPr>
      <t xml:space="preserve"> Überkreuz der Gruppenersten/-zweiten, Gruppendritten/-vierten, usw.</t>
    </r>
  </si>
  <si>
    <r>
      <t>Endrunde:</t>
    </r>
    <r>
      <rPr>
        <sz val="10"/>
        <rFont val="Arial"/>
        <family val="2"/>
      </rPr>
      <t xml:space="preserve"> Die Sieger der Zwischenrunde spielen um die Plätze 1, 5, 9 - die Verlierer um die Plätze 3, 7 und 11.</t>
    </r>
  </si>
  <si>
    <t>Es stehen 2 Spielfelder zur Verfügung und 12 Mannschaften nehmen am Turnier teil.</t>
  </si>
  <si>
    <t>Achtung:</t>
  </si>
  <si>
    <t>Nur gelb Markierte Felder sind für Eingaben vorgesehen.</t>
  </si>
  <si>
    <t>Eingaben in andere Felder zerstören mit großer Sicherheit Auswertungsfunktionen.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</si>
</sst>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0"/>
      <name val="Arial"/>
    </font>
    <font>
      <b/>
      <sz val="12"/>
      <name val="Arial"/>
      <family val="2"/>
    </font>
    <font>
      <b/>
      <sz val="16"/>
      <name val="Arial"/>
      <family val="2"/>
    </font>
    <font>
      <b/>
      <sz val="10"/>
      <name val="Arial"/>
      <family val="2"/>
    </font>
    <font>
      <sz val="1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4"/>
        <bgColor indexed="64"/>
      </patternFill>
    </fill>
  </fills>
  <borders count="3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93">
    <xf numFmtId="0" fontId="0" fillId="0" borderId="0" xfId="0"/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0" fillId="2" borderId="1" xfId="0" applyFill="1" applyBorder="1"/>
    <xf numFmtId="0" fontId="0" fillId="2" borderId="5" xfId="0" applyFill="1" applyBorder="1" applyAlignment="1">
      <alignment horizontal="center"/>
    </xf>
    <xf numFmtId="0" fontId="0" fillId="0" borderId="0" xfId="0" applyAlignment="1">
      <alignment horizontal="center"/>
    </xf>
    <xf numFmtId="0" fontId="0" fillId="3" borderId="6" xfId="0" applyFill="1" applyBorder="1" applyAlignment="1" applyProtection="1">
      <alignment horizontal="center"/>
      <protection locked="0"/>
    </xf>
    <xf numFmtId="0" fontId="0" fillId="3" borderId="1" xfId="0" applyFill="1" applyBorder="1" applyAlignment="1" applyProtection="1">
      <alignment horizontal="center"/>
      <protection locked="0"/>
    </xf>
    <xf numFmtId="0" fontId="0" fillId="3" borderId="2" xfId="0" applyFill="1" applyBorder="1" applyAlignment="1" applyProtection="1">
      <alignment horizontal="center"/>
      <protection locked="0"/>
    </xf>
    <xf numFmtId="20" fontId="0" fillId="3" borderId="7" xfId="0" applyNumberFormat="1" applyFill="1" applyBorder="1" applyAlignment="1" applyProtection="1">
      <alignment horizontal="center"/>
      <protection locked="0"/>
    </xf>
    <xf numFmtId="20" fontId="0" fillId="3" borderId="3" xfId="0" applyNumberFormat="1" applyFill="1" applyBorder="1" applyAlignment="1" applyProtection="1">
      <alignment horizontal="center"/>
      <protection locked="0"/>
    </xf>
    <xf numFmtId="20" fontId="0" fillId="3" borderId="4" xfId="0" applyNumberFormat="1" applyFill="1" applyBorder="1" applyAlignment="1" applyProtection="1">
      <alignment horizontal="center"/>
      <protection locked="0"/>
    </xf>
    <xf numFmtId="0" fontId="0" fillId="0" borderId="0" xfId="0" applyProtection="1"/>
    <xf numFmtId="20" fontId="0" fillId="3" borderId="1" xfId="0" applyNumberFormat="1" applyFill="1" applyBorder="1" applyAlignment="1" applyProtection="1">
      <alignment horizontal="center"/>
      <protection locked="0"/>
    </xf>
    <xf numFmtId="20" fontId="0" fillId="3" borderId="2" xfId="0" applyNumberFormat="1" applyFill="1" applyBorder="1" applyAlignment="1" applyProtection="1">
      <alignment horizontal="center"/>
      <protection locked="0"/>
    </xf>
    <xf numFmtId="0" fontId="0" fillId="3" borderId="3" xfId="0" applyFill="1" applyBorder="1" applyAlignment="1" applyProtection="1">
      <alignment horizontal="center"/>
      <protection locked="0"/>
    </xf>
    <xf numFmtId="0" fontId="0" fillId="3" borderId="4" xfId="0" applyFill="1" applyBorder="1" applyAlignment="1" applyProtection="1">
      <alignment horizontal="center"/>
      <protection locked="0"/>
    </xf>
    <xf numFmtId="0" fontId="1" fillId="2" borderId="8" xfId="0" applyFont="1" applyFill="1" applyBorder="1" applyAlignment="1">
      <alignment horizontal="center"/>
    </xf>
    <xf numFmtId="0" fontId="1" fillId="2" borderId="9" xfId="0" applyFont="1" applyFill="1" applyBorder="1" applyAlignment="1">
      <alignment horizontal="center"/>
    </xf>
    <xf numFmtId="0" fontId="1" fillId="3" borderId="5" xfId="0" applyFont="1" applyFill="1" applyBorder="1" applyAlignment="1">
      <alignment horizontal="center"/>
    </xf>
    <xf numFmtId="0" fontId="1" fillId="3" borderId="10" xfId="0" applyFont="1" applyFill="1" applyBorder="1" applyAlignment="1">
      <alignment horizontal="center"/>
    </xf>
    <xf numFmtId="0" fontId="0" fillId="0" borderId="11" xfId="0" applyFill="1" applyBorder="1" applyAlignment="1">
      <alignment horizontal="center"/>
    </xf>
    <xf numFmtId="0" fontId="0" fillId="0" borderId="12" xfId="0" applyFill="1" applyBorder="1" applyAlignment="1">
      <alignment horizontal="center"/>
    </xf>
    <xf numFmtId="0" fontId="0" fillId="0" borderId="13" xfId="0" applyFill="1" applyBorder="1" applyAlignment="1">
      <alignment horizontal="center"/>
    </xf>
    <xf numFmtId="0" fontId="1" fillId="0" borderId="0" xfId="0" applyFont="1"/>
    <xf numFmtId="0" fontId="3" fillId="0" borderId="0" xfId="0" applyFont="1"/>
    <xf numFmtId="0" fontId="0" fillId="2" borderId="14" xfId="0" applyFill="1" applyBorder="1" applyAlignment="1" applyProtection="1">
      <alignment horizontal="center"/>
    </xf>
    <xf numFmtId="0" fontId="0" fillId="2" borderId="15" xfId="0" applyFill="1" applyBorder="1" applyAlignment="1" applyProtection="1">
      <alignment horizontal="center"/>
    </xf>
    <xf numFmtId="0" fontId="0" fillId="2" borderId="16" xfId="0" applyFill="1" applyBorder="1" applyAlignment="1" applyProtection="1">
      <alignment horizontal="center"/>
    </xf>
    <xf numFmtId="0" fontId="0" fillId="2" borderId="17" xfId="0" applyFill="1" applyBorder="1" applyAlignment="1" applyProtection="1">
      <alignment horizontal="center"/>
    </xf>
    <xf numFmtId="0" fontId="0" fillId="0" borderId="18" xfId="0" applyFill="1" applyBorder="1" applyProtection="1"/>
    <xf numFmtId="0" fontId="0" fillId="0" borderId="19" xfId="0" applyFill="1" applyBorder="1" applyProtection="1"/>
    <xf numFmtId="0" fontId="0" fillId="0" borderId="6" xfId="0" applyFill="1" applyBorder="1" applyProtection="1"/>
    <xf numFmtId="0" fontId="0" fillId="0" borderId="5" xfId="0" applyFill="1" applyBorder="1" applyProtection="1"/>
    <xf numFmtId="0" fontId="0" fillId="0" borderId="20" xfId="0" applyFill="1" applyBorder="1" applyProtection="1"/>
    <xf numFmtId="0" fontId="0" fillId="0" borderId="1" xfId="0" applyFill="1" applyBorder="1" applyProtection="1"/>
    <xf numFmtId="0" fontId="0" fillId="0" borderId="10" xfId="0" applyFill="1" applyBorder="1" applyProtection="1"/>
    <xf numFmtId="0" fontId="0" fillId="0" borderId="2" xfId="0" applyFill="1" applyBorder="1" applyProtection="1"/>
    <xf numFmtId="0" fontId="0" fillId="0" borderId="1" xfId="0" applyFill="1" applyBorder="1" applyAlignment="1" applyProtection="1">
      <alignment horizontal="center"/>
    </xf>
    <xf numFmtId="0" fontId="0" fillId="0" borderId="2" xfId="0" applyFill="1" applyBorder="1" applyAlignment="1" applyProtection="1">
      <alignment horizontal="center"/>
    </xf>
    <xf numFmtId="1" fontId="0" fillId="0" borderId="6" xfId="0" applyNumberFormat="1" applyFill="1" applyBorder="1" applyProtection="1"/>
    <xf numFmtId="1" fontId="0" fillId="0" borderId="7" xfId="0" applyNumberFormat="1" applyFill="1" applyBorder="1" applyProtection="1"/>
    <xf numFmtId="1" fontId="0" fillId="0" borderId="3" xfId="0" applyNumberFormat="1" applyFill="1" applyBorder="1" applyProtection="1"/>
    <xf numFmtId="0" fontId="0" fillId="0" borderId="21" xfId="0" applyFill="1" applyBorder="1" applyProtection="1"/>
    <xf numFmtId="1" fontId="0" fillId="0" borderId="22" xfId="0" applyNumberFormat="1" applyFill="1" applyBorder="1" applyProtection="1"/>
    <xf numFmtId="1" fontId="0" fillId="0" borderId="4" xfId="0" applyNumberFormat="1" applyFill="1" applyBorder="1" applyProtection="1"/>
    <xf numFmtId="0" fontId="0" fillId="2" borderId="14" xfId="0" applyFill="1" applyBorder="1" applyAlignment="1">
      <alignment horizontal="center"/>
    </xf>
    <xf numFmtId="0" fontId="0" fillId="2" borderId="16" xfId="0" applyFill="1" applyBorder="1" applyAlignment="1">
      <alignment horizontal="center"/>
    </xf>
    <xf numFmtId="0" fontId="0" fillId="2" borderId="17" xfId="0" applyFill="1" applyBorder="1" applyAlignment="1">
      <alignment horizontal="center"/>
    </xf>
    <xf numFmtId="0" fontId="0" fillId="2" borderId="18" xfId="0" applyFill="1" applyBorder="1" applyAlignment="1">
      <alignment horizontal="center"/>
    </xf>
    <xf numFmtId="0" fontId="0" fillId="2" borderId="6" xfId="0" applyFill="1" applyBorder="1"/>
    <xf numFmtId="0" fontId="0" fillId="2" borderId="7" xfId="0" applyFill="1" applyBorder="1"/>
    <xf numFmtId="0" fontId="0" fillId="2" borderId="3" xfId="0" applyFill="1" applyBorder="1"/>
    <xf numFmtId="0" fontId="0" fillId="0" borderId="5" xfId="0" applyFill="1" applyBorder="1" applyAlignment="1">
      <alignment horizontal="center"/>
    </xf>
    <xf numFmtId="0" fontId="0" fillId="0" borderId="1" xfId="0" applyFill="1" applyBorder="1"/>
    <xf numFmtId="0" fontId="0" fillId="0" borderId="10" xfId="0" applyFill="1" applyBorder="1" applyAlignment="1">
      <alignment horizontal="center"/>
    </xf>
    <xf numFmtId="0" fontId="0" fillId="0" borderId="2" xfId="0" applyFill="1" applyBorder="1"/>
    <xf numFmtId="0" fontId="0" fillId="2" borderId="14" xfId="0" applyFill="1" applyBorder="1" applyAlignment="1" applyProtection="1">
      <alignment horizontal="center" wrapText="1"/>
    </xf>
    <xf numFmtId="0" fontId="0" fillId="2" borderId="16" xfId="0" applyFill="1" applyBorder="1" applyAlignment="1" applyProtection="1">
      <alignment horizontal="center" wrapText="1"/>
    </xf>
    <xf numFmtId="0" fontId="0" fillId="2" borderId="17" xfId="0" applyFill="1" applyBorder="1" applyAlignment="1" applyProtection="1">
      <alignment horizontal="center" wrapText="1"/>
    </xf>
    <xf numFmtId="0" fontId="0" fillId="0" borderId="11" xfId="0" applyFill="1" applyBorder="1" applyAlignment="1" applyProtection="1">
      <alignment horizontal="center" wrapText="1"/>
    </xf>
    <xf numFmtId="0" fontId="0" fillId="0" borderId="12" xfId="0" applyFill="1" applyBorder="1" applyAlignment="1" applyProtection="1">
      <alignment horizontal="center"/>
    </xf>
    <xf numFmtId="0" fontId="0" fillId="0" borderId="13" xfId="0" applyFill="1" applyBorder="1" applyAlignment="1" applyProtection="1">
      <alignment horizontal="center"/>
    </xf>
    <xf numFmtId="0" fontId="0" fillId="2" borderId="18" xfId="0" applyFill="1" applyBorder="1" applyProtection="1"/>
    <xf numFmtId="0" fontId="0" fillId="2" borderId="6" xfId="0" applyFill="1" applyBorder="1" applyProtection="1"/>
    <xf numFmtId="0" fontId="0" fillId="2" borderId="7" xfId="0" applyFill="1" applyBorder="1" applyProtection="1"/>
    <xf numFmtId="0" fontId="0" fillId="0" borderId="5" xfId="0" applyFill="1" applyBorder="1" applyAlignment="1" applyProtection="1">
      <alignment horizontal="center"/>
    </xf>
    <xf numFmtId="0" fontId="0" fillId="0" borderId="1" xfId="0" applyBorder="1" applyAlignment="1" applyProtection="1">
      <alignment horizontal="center"/>
    </xf>
    <xf numFmtId="0" fontId="0" fillId="2" borderId="5" xfId="0" applyFill="1" applyBorder="1" applyProtection="1"/>
    <xf numFmtId="0" fontId="0" fillId="2" borderId="1" xfId="0" applyFill="1" applyBorder="1" applyProtection="1"/>
    <xf numFmtId="0" fontId="0" fillId="2" borderId="3" xfId="0" applyFill="1" applyBorder="1" applyProtection="1"/>
    <xf numFmtId="0" fontId="0" fillId="0" borderId="10" xfId="0" applyFill="1" applyBorder="1" applyAlignment="1" applyProtection="1">
      <alignment horizontal="center"/>
    </xf>
    <xf numFmtId="0" fontId="0" fillId="0" borderId="2" xfId="0" applyBorder="1" applyAlignment="1" applyProtection="1">
      <alignment horizontal="center"/>
    </xf>
    <xf numFmtId="0" fontId="3" fillId="0" borderId="0" xfId="0" applyFont="1" applyProtection="1"/>
    <xf numFmtId="0" fontId="3" fillId="3" borderId="0" xfId="0" applyFont="1" applyFill="1"/>
    <xf numFmtId="0" fontId="1" fillId="4" borderId="23" xfId="0" applyFont="1" applyFill="1" applyBorder="1" applyAlignment="1" applyProtection="1">
      <alignment horizontal="left"/>
    </xf>
    <xf numFmtId="0" fontId="0" fillId="3" borderId="29" xfId="0" applyFill="1" applyBorder="1" applyAlignment="1" applyProtection="1">
      <alignment horizontal="left"/>
      <protection locked="0"/>
    </xf>
    <xf numFmtId="0" fontId="0" fillId="3" borderId="30" xfId="0" applyFill="1" applyBorder="1" applyAlignment="1" applyProtection="1">
      <alignment horizontal="left"/>
      <protection locked="0"/>
    </xf>
    <xf numFmtId="0" fontId="1" fillId="4" borderId="0" xfId="0" applyFont="1" applyFill="1" applyBorder="1" applyAlignment="1" applyProtection="1">
      <alignment horizontal="left"/>
    </xf>
    <xf numFmtId="0" fontId="0" fillId="3" borderId="27" xfId="0" applyFill="1" applyBorder="1" applyAlignment="1" applyProtection="1">
      <alignment horizontal="left"/>
      <protection locked="0"/>
    </xf>
    <xf numFmtId="0" fontId="0" fillId="3" borderId="28" xfId="0" applyFill="1" applyBorder="1" applyAlignment="1" applyProtection="1">
      <alignment horizontal="left"/>
      <protection locked="0"/>
    </xf>
    <xf numFmtId="0" fontId="0" fillId="3" borderId="31" xfId="0" applyFill="1" applyBorder="1" applyAlignment="1" applyProtection="1">
      <alignment horizontal="left"/>
      <protection locked="0"/>
    </xf>
    <xf numFmtId="0" fontId="0" fillId="3" borderId="32" xfId="0" applyFill="1" applyBorder="1" applyAlignment="1" applyProtection="1">
      <alignment horizontal="left"/>
      <protection locked="0"/>
    </xf>
    <xf numFmtId="0" fontId="1" fillId="4" borderId="24" xfId="0" applyFont="1" applyFill="1" applyBorder="1" applyAlignment="1">
      <alignment horizontal="center"/>
    </xf>
    <xf numFmtId="0" fontId="1" fillId="4" borderId="25" xfId="0" applyFont="1" applyFill="1" applyBorder="1" applyAlignment="1">
      <alignment horizontal="center"/>
    </xf>
    <xf numFmtId="0" fontId="1" fillId="4" borderId="26" xfId="0" applyFont="1" applyFill="1" applyBorder="1" applyAlignment="1">
      <alignment horizontal="center"/>
    </xf>
    <xf numFmtId="0" fontId="1" fillId="4" borderId="24" xfId="0" applyFont="1" applyFill="1" applyBorder="1" applyAlignment="1" applyProtection="1">
      <alignment horizontal="center"/>
    </xf>
    <xf numFmtId="0" fontId="1" fillId="4" borderId="25" xfId="0" applyFont="1" applyFill="1" applyBorder="1" applyAlignment="1" applyProtection="1">
      <alignment horizontal="center"/>
    </xf>
    <xf numFmtId="0" fontId="1" fillId="4" borderId="26" xfId="0" applyFont="1" applyFill="1" applyBorder="1" applyAlignment="1" applyProtection="1">
      <alignment horizontal="center"/>
    </xf>
    <xf numFmtId="0" fontId="2" fillId="4" borderId="24" xfId="0" applyFont="1" applyFill="1" applyBorder="1" applyAlignment="1">
      <alignment horizontal="center"/>
    </xf>
    <xf numFmtId="0" fontId="2" fillId="4" borderId="26" xfId="0" applyFont="1" applyFill="1" applyBorder="1" applyAlignment="1">
      <alignment horizontal="center"/>
    </xf>
  </cellXfs>
  <cellStyles count="1">
    <cellStyle name="Standard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</xdr:row>
          <xdr:rowOff>0</xdr:rowOff>
        </xdr:from>
        <xdr:to>
          <xdr:col>7</xdr:col>
          <xdr:colOff>266700</xdr:colOff>
          <xdr:row>2</xdr:row>
          <xdr:rowOff>95250</xdr:rowOff>
        </xdr:to>
        <xdr:sp macro="" textlink="">
          <xdr:nvSpPr>
            <xdr:cNvPr id="1038" name="CommandButton1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0</xdr:rowOff>
        </xdr:from>
        <xdr:to>
          <xdr:col>7</xdr:col>
          <xdr:colOff>285750</xdr:colOff>
          <xdr:row>2</xdr:row>
          <xdr:rowOff>95250</xdr:rowOff>
        </xdr:to>
        <xdr:sp macro="" textlink="">
          <xdr:nvSpPr>
            <xdr:cNvPr id="6145" name="CommandButton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">
    <pageSetUpPr fitToPage="1"/>
  </sheetPr>
  <dimension ref="A1:I34"/>
  <sheetViews>
    <sheetView tabSelected="1" zoomScale="70" workbookViewId="0">
      <selection activeCell="A2" sqref="A2:B2"/>
    </sheetView>
  </sheetViews>
  <sheetFormatPr baseColWidth="10" defaultRowHeight="12.75" x14ac:dyDescent="0.2"/>
  <cols>
    <col min="1" max="3" width="15.85546875" style="14" customWidth="1"/>
    <col min="4" max="4" width="11.5703125" style="14" bestFit="1" customWidth="1"/>
    <col min="5" max="5" width="11.42578125" style="14" bestFit="1"/>
    <col min="6" max="6" width="11.42578125" style="14"/>
    <col min="7" max="7" width="13.42578125" style="14" bestFit="1" customWidth="1"/>
    <col min="8" max="8" width="8.85546875" style="14" customWidth="1"/>
    <col min="9" max="16384" width="11.42578125" style="14"/>
  </cols>
  <sheetData>
    <row r="1" spans="1:8" ht="16.5" thickBot="1" x14ac:dyDescent="0.3">
      <c r="A1" s="77" t="s">
        <v>11</v>
      </c>
      <c r="B1" s="77"/>
    </row>
    <row r="2" spans="1:8" ht="20.100000000000001" customHeight="1" x14ac:dyDescent="0.2">
      <c r="A2" s="81" t="s">
        <v>57</v>
      </c>
      <c r="B2" s="82"/>
    </row>
    <row r="3" spans="1:8" ht="20.100000000000001" customHeight="1" x14ac:dyDescent="0.2">
      <c r="A3" s="78" t="s">
        <v>58</v>
      </c>
      <c r="B3" s="79"/>
    </row>
    <row r="4" spans="1:8" ht="20.100000000000001" customHeight="1" x14ac:dyDescent="0.25">
      <c r="A4" s="78" t="s">
        <v>59</v>
      </c>
      <c r="B4" s="79"/>
      <c r="D4" s="26" t="s">
        <v>65</v>
      </c>
    </row>
    <row r="5" spans="1:8" ht="20.100000000000001" customHeight="1" x14ac:dyDescent="0.2">
      <c r="A5" s="78" t="s">
        <v>60</v>
      </c>
      <c r="B5" s="79"/>
      <c r="D5" t="s">
        <v>68</v>
      </c>
    </row>
    <row r="6" spans="1:8" ht="20.100000000000001" customHeight="1" x14ac:dyDescent="0.2">
      <c r="A6" s="78" t="s">
        <v>61</v>
      </c>
      <c r="B6" s="79"/>
      <c r="D6"/>
    </row>
    <row r="7" spans="1:8" ht="20.100000000000001" customHeight="1" thickBot="1" x14ac:dyDescent="0.25">
      <c r="A7" s="83" t="s">
        <v>62</v>
      </c>
      <c r="B7" s="84"/>
      <c r="D7" s="27" t="s">
        <v>66</v>
      </c>
    </row>
    <row r="9" spans="1:8" ht="16.5" thickBot="1" x14ac:dyDescent="0.3">
      <c r="A9" s="80" t="s">
        <v>1</v>
      </c>
      <c r="B9" s="80"/>
      <c r="C9" s="80"/>
      <c r="D9" s="80"/>
      <c r="E9" s="80"/>
      <c r="F9" s="80"/>
      <c r="G9" s="80"/>
      <c r="H9" s="80"/>
    </row>
    <row r="10" spans="1:8" ht="20.100000000000001" customHeight="1" thickBot="1" x14ac:dyDescent="0.25">
      <c r="A10" s="28" t="s">
        <v>2</v>
      </c>
      <c r="B10" s="29" t="s">
        <v>3</v>
      </c>
      <c r="C10" s="30" t="s">
        <v>4</v>
      </c>
      <c r="D10" s="30" t="s">
        <v>5</v>
      </c>
      <c r="E10" s="30" t="s">
        <v>6</v>
      </c>
      <c r="F10" s="30" t="s">
        <v>7</v>
      </c>
      <c r="G10" s="30" t="s">
        <v>8</v>
      </c>
      <c r="H10" s="31" t="s">
        <v>9</v>
      </c>
    </row>
    <row r="11" spans="1:8" ht="20.100000000000001" customHeight="1" x14ac:dyDescent="0.2">
      <c r="A11" s="32" t="str">
        <f>$A$2</f>
        <v>Erster A</v>
      </c>
      <c r="B11" s="33" t="str">
        <f>$A$3</f>
        <v>Zweiter A</v>
      </c>
      <c r="C11" s="34" t="str">
        <f>$A$7</f>
        <v>Sechster A</v>
      </c>
      <c r="D11" s="8">
        <v>0</v>
      </c>
      <c r="E11" s="8">
        <v>0</v>
      </c>
      <c r="F11" s="40">
        <f>IF(D11&gt;E11,2,IF(D11=E11,1,0))</f>
        <v>1</v>
      </c>
      <c r="G11" s="40">
        <f>IF(D11&lt;E11,2,IF(D11=E11,1,0))</f>
        <v>1</v>
      </c>
      <c r="H11" s="11">
        <v>0.39583333333333331</v>
      </c>
    </row>
    <row r="12" spans="1:8" ht="20.100000000000001" customHeight="1" x14ac:dyDescent="0.2">
      <c r="A12" s="35" t="str">
        <f>$A$4</f>
        <v>Dritter A</v>
      </c>
      <c r="B12" s="33" t="str">
        <f>$A$5</f>
        <v>Vierter A</v>
      </c>
      <c r="C12" s="34" t="str">
        <f>$A$3</f>
        <v>Zweiter A</v>
      </c>
      <c r="D12" s="9">
        <v>0</v>
      </c>
      <c r="E12" s="9">
        <v>0</v>
      </c>
      <c r="F12" s="40">
        <f>IF(D12&gt;E12,2,IF(D12=E12,1,0))</f>
        <v>1</v>
      </c>
      <c r="G12" s="40">
        <f>IF(D12&lt;E12,2,IF(D12=E12,1,0))</f>
        <v>1</v>
      </c>
      <c r="H12" s="11">
        <f>H11+TIME(0,15,0)</f>
        <v>0.40625</v>
      </c>
    </row>
    <row r="13" spans="1:8" ht="20.100000000000001" customHeight="1" x14ac:dyDescent="0.2">
      <c r="A13" s="35" t="str">
        <f>$A$6</f>
        <v>Fünfter A</v>
      </c>
      <c r="B13" s="36" t="str">
        <f>$A$7</f>
        <v>Sechster A</v>
      </c>
      <c r="C13" s="37" t="str">
        <f>$A$4</f>
        <v>Dritter A</v>
      </c>
      <c r="D13" s="9">
        <v>0</v>
      </c>
      <c r="E13" s="9">
        <v>0</v>
      </c>
      <c r="F13" s="40">
        <f>IF(D13&gt;E13,2,IF(D13=E13,1,0))</f>
        <v>1</v>
      </c>
      <c r="G13" s="40">
        <f>IF(D13&lt;E13,2,IF(D13=E13,1,0))</f>
        <v>1</v>
      </c>
      <c r="H13" s="12">
        <f t="shared" ref="H13:H25" si="0">H12+TIME(0,15,0)</f>
        <v>0.41666666666666669</v>
      </c>
    </row>
    <row r="14" spans="1:8" ht="20.100000000000001" customHeight="1" x14ac:dyDescent="0.2">
      <c r="A14" s="35" t="str">
        <f>$A$3</f>
        <v>Zweiter A</v>
      </c>
      <c r="B14" s="33" t="str">
        <f>$A$5</f>
        <v>Vierter A</v>
      </c>
      <c r="C14" s="37" t="str">
        <f>$A$6</f>
        <v>Fünfter A</v>
      </c>
      <c r="D14" s="9">
        <v>0</v>
      </c>
      <c r="E14" s="9">
        <v>0</v>
      </c>
      <c r="F14" s="40">
        <f t="shared" ref="F14:F22" si="1">IF(D14&gt;E14,2,IF(D14=E14,1,0))</f>
        <v>1</v>
      </c>
      <c r="G14" s="40">
        <f t="shared" ref="G14:G22" si="2">IF(D14&lt;E14,2,IF(D14=E14,1,0))</f>
        <v>1</v>
      </c>
      <c r="H14" s="12">
        <f t="shared" si="0"/>
        <v>0.42708333333333337</v>
      </c>
    </row>
    <row r="15" spans="1:8" ht="20.100000000000001" customHeight="1" x14ac:dyDescent="0.2">
      <c r="A15" s="35" t="str">
        <f>$A$2</f>
        <v>Erster A</v>
      </c>
      <c r="B15" s="36" t="str">
        <f>$A$7</f>
        <v>Sechster A</v>
      </c>
      <c r="C15" s="37" t="str">
        <f>$A$5</f>
        <v>Vierter A</v>
      </c>
      <c r="D15" s="9">
        <v>0</v>
      </c>
      <c r="E15" s="9">
        <v>0</v>
      </c>
      <c r="F15" s="40">
        <f t="shared" si="1"/>
        <v>1</v>
      </c>
      <c r="G15" s="40">
        <f t="shared" si="2"/>
        <v>1</v>
      </c>
      <c r="H15" s="12">
        <f t="shared" si="0"/>
        <v>0.43750000000000006</v>
      </c>
    </row>
    <row r="16" spans="1:8" ht="20.100000000000001" customHeight="1" x14ac:dyDescent="0.2">
      <c r="A16" s="35" t="str">
        <f>$A$4</f>
        <v>Dritter A</v>
      </c>
      <c r="B16" s="36" t="str">
        <f>$A$6</f>
        <v>Fünfter A</v>
      </c>
      <c r="C16" s="37" t="str">
        <f>$A$2</f>
        <v>Erster A</v>
      </c>
      <c r="D16" s="9">
        <v>0</v>
      </c>
      <c r="E16" s="9">
        <v>0</v>
      </c>
      <c r="F16" s="40">
        <f t="shared" si="1"/>
        <v>1</v>
      </c>
      <c r="G16" s="40">
        <f t="shared" si="2"/>
        <v>1</v>
      </c>
      <c r="H16" s="12">
        <f t="shared" si="0"/>
        <v>0.44791666666666674</v>
      </c>
    </row>
    <row r="17" spans="1:9" ht="20.100000000000001" customHeight="1" x14ac:dyDescent="0.2">
      <c r="A17" s="35" t="str">
        <f>$A$5</f>
        <v>Vierter A</v>
      </c>
      <c r="B17" s="36" t="str">
        <f>$A$7</f>
        <v>Sechster A</v>
      </c>
      <c r="C17" s="37" t="str">
        <f>$A$3</f>
        <v>Zweiter A</v>
      </c>
      <c r="D17" s="9">
        <v>0</v>
      </c>
      <c r="E17" s="9">
        <v>0</v>
      </c>
      <c r="F17" s="40">
        <f t="shared" si="1"/>
        <v>1</v>
      </c>
      <c r="G17" s="40">
        <f t="shared" si="2"/>
        <v>1</v>
      </c>
      <c r="H17" s="12">
        <f t="shared" si="0"/>
        <v>0.45833333333333343</v>
      </c>
    </row>
    <row r="18" spans="1:9" ht="20.100000000000001" customHeight="1" x14ac:dyDescent="0.2">
      <c r="A18" s="35" t="str">
        <f>$A$3</f>
        <v>Zweiter A</v>
      </c>
      <c r="B18" s="36" t="str">
        <f>$A$6</f>
        <v>Fünfter A</v>
      </c>
      <c r="C18" s="37" t="str">
        <f>$A$7</f>
        <v>Sechster A</v>
      </c>
      <c r="D18" s="9">
        <v>0</v>
      </c>
      <c r="E18" s="9">
        <v>0</v>
      </c>
      <c r="F18" s="40">
        <f t="shared" si="1"/>
        <v>1</v>
      </c>
      <c r="G18" s="40">
        <f t="shared" si="2"/>
        <v>1</v>
      </c>
      <c r="H18" s="12">
        <f t="shared" si="0"/>
        <v>0.46875000000000011</v>
      </c>
    </row>
    <row r="19" spans="1:9" ht="20.100000000000001" customHeight="1" x14ac:dyDescent="0.2">
      <c r="A19" s="35" t="str">
        <f>$A$2</f>
        <v>Erster A</v>
      </c>
      <c r="B19" s="36" t="str">
        <f>$A$4</f>
        <v>Dritter A</v>
      </c>
      <c r="C19" s="37" t="str">
        <f>$A$5</f>
        <v>Vierter A</v>
      </c>
      <c r="D19" s="9">
        <v>0</v>
      </c>
      <c r="E19" s="9">
        <v>0</v>
      </c>
      <c r="F19" s="40">
        <f t="shared" si="1"/>
        <v>1</v>
      </c>
      <c r="G19" s="40">
        <f t="shared" si="2"/>
        <v>1</v>
      </c>
      <c r="H19" s="12">
        <f t="shared" si="0"/>
        <v>0.4791666666666668</v>
      </c>
    </row>
    <row r="20" spans="1:9" ht="20.100000000000001" customHeight="1" x14ac:dyDescent="0.2">
      <c r="A20" s="35" t="str">
        <f>$A$5</f>
        <v>Vierter A</v>
      </c>
      <c r="B20" s="36" t="str">
        <f>$A$6</f>
        <v>Fünfter A</v>
      </c>
      <c r="C20" s="37" t="str">
        <f>$A$3</f>
        <v>Zweiter A</v>
      </c>
      <c r="D20" s="9">
        <v>0</v>
      </c>
      <c r="E20" s="9">
        <v>0</v>
      </c>
      <c r="F20" s="40">
        <f t="shared" si="1"/>
        <v>1</v>
      </c>
      <c r="G20" s="40">
        <f t="shared" si="2"/>
        <v>1</v>
      </c>
      <c r="H20" s="12">
        <f t="shared" si="0"/>
        <v>0.48958333333333348</v>
      </c>
      <c r="I20" s="14" t="s">
        <v>77</v>
      </c>
    </row>
    <row r="21" spans="1:9" ht="20.100000000000001" customHeight="1" x14ac:dyDescent="0.2">
      <c r="A21" s="35" t="str">
        <f>$A$7</f>
        <v>Sechster A</v>
      </c>
      <c r="B21" s="36" t="str">
        <f>$A$4</f>
        <v>Dritter A</v>
      </c>
      <c r="C21" s="37" t="str">
        <f>$A$2</f>
        <v>Erster A</v>
      </c>
      <c r="D21" s="9">
        <v>0</v>
      </c>
      <c r="E21" s="9">
        <v>0</v>
      </c>
      <c r="F21" s="40">
        <f t="shared" si="1"/>
        <v>1</v>
      </c>
      <c r="G21" s="40">
        <f t="shared" si="2"/>
        <v>1</v>
      </c>
      <c r="H21" s="12">
        <f t="shared" si="0"/>
        <v>0.50000000000000011</v>
      </c>
    </row>
    <row r="22" spans="1:9" ht="20.100000000000001" customHeight="1" x14ac:dyDescent="0.2">
      <c r="A22" s="35" t="str">
        <f>$A$3</f>
        <v>Zweiter A</v>
      </c>
      <c r="B22" s="33" t="str">
        <f>$A$7</f>
        <v>Sechster A</v>
      </c>
      <c r="C22" s="37" t="str">
        <f>$A$6</f>
        <v>Fünfter A</v>
      </c>
      <c r="D22" s="9">
        <v>0</v>
      </c>
      <c r="E22" s="9">
        <v>0</v>
      </c>
      <c r="F22" s="40">
        <f t="shared" si="1"/>
        <v>1</v>
      </c>
      <c r="G22" s="40">
        <f t="shared" si="2"/>
        <v>1</v>
      </c>
      <c r="H22" s="12">
        <f t="shared" si="0"/>
        <v>0.51041666666666674</v>
      </c>
    </row>
    <row r="23" spans="1:9" ht="20.100000000000001" customHeight="1" x14ac:dyDescent="0.2">
      <c r="A23" s="35" t="str">
        <f>$A$6</f>
        <v>Fünfter A</v>
      </c>
      <c r="B23" s="36" t="str">
        <f>$A$2</f>
        <v>Erster A</v>
      </c>
      <c r="C23" s="37" t="str">
        <f>$A$5</f>
        <v>Vierter A</v>
      </c>
      <c r="D23" s="9">
        <v>0</v>
      </c>
      <c r="E23" s="9">
        <v>0</v>
      </c>
      <c r="F23" s="40">
        <f>IF(D23&gt;E23,2,IF(D23=E23,1,0))</f>
        <v>1</v>
      </c>
      <c r="G23" s="40">
        <f>IF(D23&lt;E23,2,IF(D23=E23,1,0))</f>
        <v>1</v>
      </c>
      <c r="H23" s="12">
        <f t="shared" si="0"/>
        <v>0.52083333333333337</v>
      </c>
    </row>
    <row r="24" spans="1:9" ht="20.100000000000001" customHeight="1" x14ac:dyDescent="0.2">
      <c r="A24" s="35" t="str">
        <f>$A$5</f>
        <v>Vierter A</v>
      </c>
      <c r="B24" s="33" t="str">
        <f>$A$2</f>
        <v>Erster A</v>
      </c>
      <c r="C24" s="36" t="str">
        <f>$A$4</f>
        <v>Dritter A</v>
      </c>
      <c r="D24" s="9">
        <v>0</v>
      </c>
      <c r="E24" s="9">
        <v>0</v>
      </c>
      <c r="F24" s="40">
        <f>IF(D24&gt;E24,2,IF(D24=E24,1,0))</f>
        <v>1</v>
      </c>
      <c r="G24" s="40">
        <f>IF(D24&lt;E24,2,IF(D24=E24,1,0))</f>
        <v>1</v>
      </c>
      <c r="H24" s="12">
        <f t="shared" si="0"/>
        <v>0.53125</v>
      </c>
    </row>
    <row r="25" spans="1:9" ht="20.100000000000001" customHeight="1" thickBot="1" x14ac:dyDescent="0.25">
      <c r="A25" s="38" t="str">
        <f>$A$4</f>
        <v>Dritter A</v>
      </c>
      <c r="B25" s="39" t="str">
        <f>$A$3</f>
        <v>Zweiter A</v>
      </c>
      <c r="C25" s="39" t="str">
        <f>$A$7</f>
        <v>Sechster A</v>
      </c>
      <c r="D25" s="10">
        <v>0</v>
      </c>
      <c r="E25" s="10">
        <v>0</v>
      </c>
      <c r="F25" s="41">
        <f>IF(D25&gt;E25,2,IF(D25=E25,1,0))</f>
        <v>1</v>
      </c>
      <c r="G25" s="41">
        <f>IF(D25&lt;E25,2,IF(D25=E25,1,0))</f>
        <v>1</v>
      </c>
      <c r="H25" s="13">
        <f t="shared" si="0"/>
        <v>0.54166666666666663</v>
      </c>
    </row>
    <row r="27" spans="1:9" ht="16.5" thickBot="1" x14ac:dyDescent="0.3">
      <c r="A27" s="77" t="s">
        <v>0</v>
      </c>
      <c r="B27" s="77"/>
      <c r="C27" s="77"/>
      <c r="D27" s="77"/>
      <c r="E27" s="77"/>
      <c r="F27" s="77"/>
      <c r="G27" s="77"/>
    </row>
    <row r="28" spans="1:9" ht="20.100000000000001" customHeight="1" thickBot="1" x14ac:dyDescent="0.25">
      <c r="A28" s="28" t="s">
        <v>36</v>
      </c>
      <c r="B28" s="30" t="s">
        <v>51</v>
      </c>
      <c r="C28" s="30" t="s">
        <v>52</v>
      </c>
      <c r="D28" s="30" t="s">
        <v>53</v>
      </c>
      <c r="E28" s="30" t="s">
        <v>54</v>
      </c>
      <c r="F28" s="30" t="s">
        <v>37</v>
      </c>
      <c r="G28" s="31" t="s">
        <v>38</v>
      </c>
    </row>
    <row r="29" spans="1:9" ht="20.100000000000001" customHeight="1" x14ac:dyDescent="0.2">
      <c r="A29" s="32" t="str">
        <f>$A$2</f>
        <v>Erster A</v>
      </c>
      <c r="B29" s="34">
        <f>$D$11+$D$15+$D$19+$E$23+$E$24</f>
        <v>0</v>
      </c>
      <c r="C29" s="34">
        <f>$E$11+$E$15+$E$19+$D$23+$D$24</f>
        <v>0</v>
      </c>
      <c r="D29" s="34">
        <f>$F$11+$F$15+$F$19+$G$23+$G$24</f>
        <v>5</v>
      </c>
      <c r="E29" s="34">
        <f>$G$11+$G$15+$G$19+$F$23+$F$24</f>
        <v>5</v>
      </c>
      <c r="F29" s="42">
        <f t="shared" ref="F29:F34" si="3">B29-C29</f>
        <v>0</v>
      </c>
      <c r="G29" s="43">
        <f t="shared" ref="G29:G34" si="4">D29-E29</f>
        <v>0</v>
      </c>
    </row>
    <row r="30" spans="1:9" ht="20.100000000000001" customHeight="1" x14ac:dyDescent="0.2">
      <c r="A30" s="32" t="str">
        <f>$A$3</f>
        <v>Zweiter A</v>
      </c>
      <c r="B30" s="37">
        <f>$E$11+$D$14+$D$18+$D$22+$E$25</f>
        <v>0</v>
      </c>
      <c r="C30" s="37">
        <f>$D$11+$E$14+$E$18+$E$22+$D$25</f>
        <v>0</v>
      </c>
      <c r="D30" s="37">
        <f>$G$11+$F$14+$F$18+$F$22+$G$25</f>
        <v>5</v>
      </c>
      <c r="E30" s="37">
        <f>$F$11+$G$14+$G$18+$G$22+$F$25</f>
        <v>5</v>
      </c>
      <c r="F30" s="42">
        <f t="shared" si="3"/>
        <v>0</v>
      </c>
      <c r="G30" s="44">
        <f t="shared" si="4"/>
        <v>0</v>
      </c>
    </row>
    <row r="31" spans="1:9" ht="20.100000000000001" customHeight="1" x14ac:dyDescent="0.2">
      <c r="A31" s="32" t="str">
        <f>$A$4</f>
        <v>Dritter A</v>
      </c>
      <c r="B31" s="37">
        <f>$D$12+$D$16+$E$19+$E$21+$D$25</f>
        <v>0</v>
      </c>
      <c r="C31" s="37">
        <f>$E$12+$E$16+$D$19+$D$21+$E$25</f>
        <v>0</v>
      </c>
      <c r="D31" s="37">
        <f>$F$12+$F$16+$G$19+$G$21+$F$25</f>
        <v>5</v>
      </c>
      <c r="E31" s="37">
        <f>$G$12+$G$16+$F$19+$F$21+$G$25</f>
        <v>5</v>
      </c>
      <c r="F31" s="42">
        <f t="shared" si="3"/>
        <v>0</v>
      </c>
      <c r="G31" s="44">
        <f t="shared" si="4"/>
        <v>0</v>
      </c>
    </row>
    <row r="32" spans="1:9" ht="20.100000000000001" customHeight="1" x14ac:dyDescent="0.2">
      <c r="A32" s="32" t="str">
        <f>$A$5</f>
        <v>Vierter A</v>
      </c>
      <c r="B32" s="37">
        <f>$E$12+$E$14+$D$17+$D$20+$D$24</f>
        <v>0</v>
      </c>
      <c r="C32" s="37">
        <f>$D$12+$D$14+$E$17+$E$20+$E$24</f>
        <v>0</v>
      </c>
      <c r="D32" s="37">
        <f>$G$12+$G$14+$F$17+$F$20+$F$24</f>
        <v>5</v>
      </c>
      <c r="E32" s="37">
        <f>$F$12+$F$14+$G$17+$G$20+$G$24</f>
        <v>5</v>
      </c>
      <c r="F32" s="42">
        <f t="shared" si="3"/>
        <v>0</v>
      </c>
      <c r="G32" s="44">
        <f t="shared" si="4"/>
        <v>0</v>
      </c>
    </row>
    <row r="33" spans="1:7" ht="20.100000000000001" customHeight="1" x14ac:dyDescent="0.2">
      <c r="A33" s="32" t="str">
        <f>$A$6</f>
        <v>Fünfter A</v>
      </c>
      <c r="B33" s="37">
        <f>$D$13+$E$16+$E$18+$E$20+$D$23</f>
        <v>0</v>
      </c>
      <c r="C33" s="37">
        <f>$E$13+$D$16+$D$18+$D$20+$E$23</f>
        <v>0</v>
      </c>
      <c r="D33" s="37">
        <f>$F$13+$G$16+$G$18+$G$20+$F$23</f>
        <v>5</v>
      </c>
      <c r="E33" s="37">
        <f>$G$13+$F$16+$F$18+$F$20+$G$23</f>
        <v>5</v>
      </c>
      <c r="F33" s="42">
        <f t="shared" si="3"/>
        <v>0</v>
      </c>
      <c r="G33" s="44">
        <f t="shared" si="4"/>
        <v>0</v>
      </c>
    </row>
    <row r="34" spans="1:7" ht="20.100000000000001" customHeight="1" thickBot="1" x14ac:dyDescent="0.25">
      <c r="A34" s="45" t="str">
        <f>$A$7</f>
        <v>Sechster A</v>
      </c>
      <c r="B34" s="39">
        <f>$E$13+$E$15+$E$17+$D$21+$E$22</f>
        <v>0</v>
      </c>
      <c r="C34" s="39">
        <f>$D$13+$D$15+$D$17+$E$21+$D$22</f>
        <v>0</v>
      </c>
      <c r="D34" s="39">
        <f>$G$13+$G$15+$G$17+$F$21+$G$22</f>
        <v>5</v>
      </c>
      <c r="E34" s="39">
        <f>$F$13+$F$15+$F$17+$G$21+$F$22</f>
        <v>5</v>
      </c>
      <c r="F34" s="46">
        <f t="shared" si="3"/>
        <v>0</v>
      </c>
      <c r="G34" s="47">
        <f t="shared" si="4"/>
        <v>0</v>
      </c>
    </row>
  </sheetData>
  <mergeCells count="9">
    <mergeCell ref="A27:G27"/>
    <mergeCell ref="A5:B5"/>
    <mergeCell ref="A9:H9"/>
    <mergeCell ref="A1:B1"/>
    <mergeCell ref="A2:B2"/>
    <mergeCell ref="A3:B3"/>
    <mergeCell ref="A4:B4"/>
    <mergeCell ref="A6:B6"/>
    <mergeCell ref="A7:B7"/>
  </mergeCells>
  <pageMargins left="0.78740157480314965" right="0.78740157480314965" top="0.98425196850393704" bottom="0.98425196850393704" header="0.51181102362204722" footer="0.51181102362204722"/>
  <pageSetup paperSize="9" scale="83" orientation="portrait" horizontalDpi="300" r:id="rId1"/>
  <headerFooter alignWithMargins="0">
    <oddHeader>&amp;C&amp;A</oddHeader>
    <oddFooter>&amp;L&amp;"Arial,Fett"Volleyballclub Neusäß e.V.&amp;"Arial,Standard"
http://www.volleyballclub.de&amp;RTurnier am &amp;D
Stand: &amp;T Uhr</oddFooter>
  </headerFooter>
  <drawing r:id="rId2"/>
  <legacyDrawing r:id="rId3"/>
  <controls>
    <mc:AlternateContent xmlns:mc="http://schemas.openxmlformats.org/markup-compatibility/2006">
      <mc:Choice Requires="x14">
        <control shapeId="1038" r:id="rId4" name="CommandButton1">
          <controlPr locked="0" defaultSize="0" autoLine="0" r:id="rId5">
            <anchor moveWithCells="1">
              <from>
                <xdr:col>4</xdr:col>
                <xdr:colOff>0</xdr:colOff>
                <xdr:row>1</xdr:row>
                <xdr:rowOff>0</xdr:rowOff>
              </from>
              <to>
                <xdr:col>7</xdr:col>
                <xdr:colOff>266700</xdr:colOff>
                <xdr:row>2</xdr:row>
                <xdr:rowOff>95250</xdr:rowOff>
              </to>
            </anchor>
          </controlPr>
        </control>
      </mc:Choice>
      <mc:Fallback>
        <control shapeId="1038" r:id="rId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1">
    <pageSetUpPr fitToPage="1"/>
  </sheetPr>
  <dimension ref="A1:I34"/>
  <sheetViews>
    <sheetView zoomScale="70" workbookViewId="0">
      <selection activeCell="A2" sqref="A2:B2"/>
    </sheetView>
  </sheetViews>
  <sheetFormatPr baseColWidth="10" defaultRowHeight="12.75" x14ac:dyDescent="0.2"/>
  <cols>
    <col min="1" max="3" width="15.85546875" style="14" customWidth="1"/>
    <col min="4" max="4" width="11.5703125" style="14" bestFit="1" customWidth="1"/>
    <col min="5" max="5" width="11.42578125" style="14" bestFit="1"/>
    <col min="6" max="6" width="11.42578125" style="14"/>
    <col min="7" max="7" width="13.42578125" style="14" bestFit="1" customWidth="1"/>
    <col min="8" max="8" width="8.85546875" style="14" customWidth="1"/>
    <col min="9" max="16384" width="11.42578125" style="14"/>
  </cols>
  <sheetData>
    <row r="1" spans="1:8" ht="16.5" thickBot="1" x14ac:dyDescent="0.3">
      <c r="A1" s="77" t="s">
        <v>70</v>
      </c>
      <c r="B1" s="77"/>
    </row>
    <row r="2" spans="1:8" ht="20.100000000000001" customHeight="1" x14ac:dyDescent="0.2">
      <c r="A2" s="81" t="s">
        <v>21</v>
      </c>
      <c r="B2" s="82"/>
    </row>
    <row r="3" spans="1:8" ht="20.100000000000001" customHeight="1" x14ac:dyDescent="0.2">
      <c r="A3" s="78" t="s">
        <v>22</v>
      </c>
      <c r="B3" s="79"/>
    </row>
    <row r="4" spans="1:8" ht="20.100000000000001" customHeight="1" x14ac:dyDescent="0.25">
      <c r="A4" s="78" t="s">
        <v>23</v>
      </c>
      <c r="B4" s="79"/>
      <c r="D4" s="26" t="s">
        <v>65</v>
      </c>
    </row>
    <row r="5" spans="1:8" ht="20.100000000000001" customHeight="1" x14ac:dyDescent="0.2">
      <c r="A5" s="78" t="s">
        <v>24</v>
      </c>
      <c r="B5" s="79"/>
      <c r="D5" t="s">
        <v>68</v>
      </c>
    </row>
    <row r="6" spans="1:8" ht="20.100000000000001" customHeight="1" x14ac:dyDescent="0.2">
      <c r="A6" s="78" t="s">
        <v>63</v>
      </c>
      <c r="B6" s="79"/>
      <c r="D6"/>
    </row>
    <row r="7" spans="1:8" ht="20.100000000000001" customHeight="1" thickBot="1" x14ac:dyDescent="0.25">
      <c r="A7" s="83" t="s">
        <v>64</v>
      </c>
      <c r="B7" s="84"/>
      <c r="D7" s="27" t="s">
        <v>66</v>
      </c>
    </row>
    <row r="9" spans="1:8" ht="16.5" thickBot="1" x14ac:dyDescent="0.3">
      <c r="A9" s="80" t="s">
        <v>1</v>
      </c>
      <c r="B9" s="80"/>
      <c r="C9" s="80"/>
      <c r="D9" s="80"/>
      <c r="E9" s="80"/>
      <c r="F9" s="80"/>
      <c r="G9" s="80"/>
      <c r="H9" s="80"/>
    </row>
    <row r="10" spans="1:8" ht="20.100000000000001" customHeight="1" thickBot="1" x14ac:dyDescent="0.25">
      <c r="A10" s="28" t="s">
        <v>2</v>
      </c>
      <c r="B10" s="29" t="s">
        <v>3</v>
      </c>
      <c r="C10" s="30" t="s">
        <v>4</v>
      </c>
      <c r="D10" s="30" t="s">
        <v>5</v>
      </c>
      <c r="E10" s="30" t="s">
        <v>6</v>
      </c>
      <c r="F10" s="30" t="s">
        <v>7</v>
      </c>
      <c r="G10" s="30" t="s">
        <v>8</v>
      </c>
      <c r="H10" s="31" t="s">
        <v>9</v>
      </c>
    </row>
    <row r="11" spans="1:8" ht="20.100000000000001" customHeight="1" x14ac:dyDescent="0.2">
      <c r="A11" s="32" t="str">
        <f>$A$2</f>
        <v>Erster B</v>
      </c>
      <c r="B11" s="33" t="str">
        <f>$A$3</f>
        <v>Zweiter B</v>
      </c>
      <c r="C11" s="34" t="str">
        <f>$A$7</f>
        <v>Sechster B</v>
      </c>
      <c r="D11" s="8">
        <v>0</v>
      </c>
      <c r="E11" s="8">
        <v>0</v>
      </c>
      <c r="F11" s="40">
        <f t="shared" ref="F11:F25" si="0">IF(D11&gt;E11,2,IF(D11=E11,1,0))</f>
        <v>1</v>
      </c>
      <c r="G11" s="40">
        <f t="shared" ref="G11:G25" si="1">IF(D11&lt;E11,2,IF(D11=E11,1,0))</f>
        <v>1</v>
      </c>
      <c r="H11" s="11">
        <v>0.39583333333333331</v>
      </c>
    </row>
    <row r="12" spans="1:8" ht="20.100000000000001" customHeight="1" x14ac:dyDescent="0.2">
      <c r="A12" s="35" t="str">
        <f>$A$4</f>
        <v>Dritter B</v>
      </c>
      <c r="B12" s="33" t="str">
        <f>$A$5</f>
        <v>Vierter B</v>
      </c>
      <c r="C12" s="34" t="str">
        <f>$A$3</f>
        <v>Zweiter B</v>
      </c>
      <c r="D12" s="9">
        <v>0</v>
      </c>
      <c r="E12" s="9">
        <v>0</v>
      </c>
      <c r="F12" s="40">
        <f t="shared" si="0"/>
        <v>1</v>
      </c>
      <c r="G12" s="40">
        <f t="shared" si="1"/>
        <v>1</v>
      </c>
      <c r="H12" s="11">
        <f t="shared" ref="H12:H25" si="2">H11+TIME(0,15,0)</f>
        <v>0.40625</v>
      </c>
    </row>
    <row r="13" spans="1:8" ht="20.100000000000001" customHeight="1" x14ac:dyDescent="0.2">
      <c r="A13" s="35" t="str">
        <f>$A$6</f>
        <v>Fünfter B</v>
      </c>
      <c r="B13" s="36" t="str">
        <f>$A$7</f>
        <v>Sechster B</v>
      </c>
      <c r="C13" s="37" t="str">
        <f>$A$4</f>
        <v>Dritter B</v>
      </c>
      <c r="D13" s="9">
        <v>0</v>
      </c>
      <c r="E13" s="9">
        <v>0</v>
      </c>
      <c r="F13" s="40">
        <f t="shared" si="0"/>
        <v>1</v>
      </c>
      <c r="G13" s="40">
        <f t="shared" si="1"/>
        <v>1</v>
      </c>
      <c r="H13" s="12">
        <f t="shared" si="2"/>
        <v>0.41666666666666669</v>
      </c>
    </row>
    <row r="14" spans="1:8" ht="20.100000000000001" customHeight="1" x14ac:dyDescent="0.2">
      <c r="A14" s="35" t="str">
        <f>$A$3</f>
        <v>Zweiter B</v>
      </c>
      <c r="B14" s="33" t="str">
        <f>$A$5</f>
        <v>Vierter B</v>
      </c>
      <c r="C14" s="37" t="str">
        <f>$A$6</f>
        <v>Fünfter B</v>
      </c>
      <c r="D14" s="9">
        <v>0</v>
      </c>
      <c r="E14" s="9">
        <v>0</v>
      </c>
      <c r="F14" s="40">
        <f t="shared" si="0"/>
        <v>1</v>
      </c>
      <c r="G14" s="40">
        <f t="shared" si="1"/>
        <v>1</v>
      </c>
      <c r="H14" s="12">
        <f t="shared" si="2"/>
        <v>0.42708333333333337</v>
      </c>
    </row>
    <row r="15" spans="1:8" ht="20.100000000000001" customHeight="1" x14ac:dyDescent="0.2">
      <c r="A15" s="35" t="str">
        <f>$A$2</f>
        <v>Erster B</v>
      </c>
      <c r="B15" s="36" t="str">
        <f>$A$7</f>
        <v>Sechster B</v>
      </c>
      <c r="C15" s="37" t="str">
        <f>$A$5</f>
        <v>Vierter B</v>
      </c>
      <c r="D15" s="9">
        <v>0</v>
      </c>
      <c r="E15" s="9">
        <v>0</v>
      </c>
      <c r="F15" s="40">
        <f t="shared" si="0"/>
        <v>1</v>
      </c>
      <c r="G15" s="40">
        <f t="shared" si="1"/>
        <v>1</v>
      </c>
      <c r="H15" s="12">
        <f t="shared" si="2"/>
        <v>0.43750000000000006</v>
      </c>
    </row>
    <row r="16" spans="1:8" ht="20.100000000000001" customHeight="1" x14ac:dyDescent="0.2">
      <c r="A16" s="35" t="str">
        <f>$A$4</f>
        <v>Dritter B</v>
      </c>
      <c r="B16" s="36" t="str">
        <f>$A$6</f>
        <v>Fünfter B</v>
      </c>
      <c r="C16" s="37" t="str">
        <f>$A$2</f>
        <v>Erster B</v>
      </c>
      <c r="D16" s="9">
        <v>0</v>
      </c>
      <c r="E16" s="9">
        <v>0</v>
      </c>
      <c r="F16" s="40">
        <f t="shared" si="0"/>
        <v>1</v>
      </c>
      <c r="G16" s="40">
        <f t="shared" si="1"/>
        <v>1</v>
      </c>
      <c r="H16" s="12">
        <f t="shared" si="2"/>
        <v>0.44791666666666674</v>
      </c>
    </row>
    <row r="17" spans="1:9" ht="20.100000000000001" customHeight="1" x14ac:dyDescent="0.2">
      <c r="A17" s="35" t="str">
        <f>$A$5</f>
        <v>Vierter B</v>
      </c>
      <c r="B17" s="36" t="str">
        <f>$A$7</f>
        <v>Sechster B</v>
      </c>
      <c r="C17" s="37" t="str">
        <f>$A$3</f>
        <v>Zweiter B</v>
      </c>
      <c r="D17" s="9">
        <v>0</v>
      </c>
      <c r="E17" s="9">
        <v>0</v>
      </c>
      <c r="F17" s="40">
        <f t="shared" si="0"/>
        <v>1</v>
      </c>
      <c r="G17" s="40">
        <f t="shared" si="1"/>
        <v>1</v>
      </c>
      <c r="H17" s="12">
        <f t="shared" si="2"/>
        <v>0.45833333333333343</v>
      </c>
    </row>
    <row r="18" spans="1:9" ht="20.100000000000001" customHeight="1" x14ac:dyDescent="0.2">
      <c r="A18" s="35" t="str">
        <f>$A$3</f>
        <v>Zweiter B</v>
      </c>
      <c r="B18" s="36" t="str">
        <f>$A$6</f>
        <v>Fünfter B</v>
      </c>
      <c r="C18" s="37" t="str">
        <f>$A$7</f>
        <v>Sechster B</v>
      </c>
      <c r="D18" s="9">
        <v>0</v>
      </c>
      <c r="E18" s="9">
        <v>0</v>
      </c>
      <c r="F18" s="40">
        <f t="shared" si="0"/>
        <v>1</v>
      </c>
      <c r="G18" s="40">
        <f t="shared" si="1"/>
        <v>1</v>
      </c>
      <c r="H18" s="12">
        <f t="shared" si="2"/>
        <v>0.46875000000000011</v>
      </c>
    </row>
    <row r="19" spans="1:9" ht="20.100000000000001" customHeight="1" x14ac:dyDescent="0.2">
      <c r="A19" s="35" t="str">
        <f>$A$2</f>
        <v>Erster B</v>
      </c>
      <c r="B19" s="36" t="str">
        <f>$A$4</f>
        <v>Dritter B</v>
      </c>
      <c r="C19" s="37" t="str">
        <f>$A$5</f>
        <v>Vierter B</v>
      </c>
      <c r="D19" s="9">
        <v>0</v>
      </c>
      <c r="E19" s="9">
        <v>0</v>
      </c>
      <c r="F19" s="40">
        <f t="shared" si="0"/>
        <v>1</v>
      </c>
      <c r="G19" s="40">
        <f t="shared" si="1"/>
        <v>1</v>
      </c>
      <c r="H19" s="12">
        <f t="shared" si="2"/>
        <v>0.4791666666666668</v>
      </c>
    </row>
    <row r="20" spans="1:9" ht="20.100000000000001" customHeight="1" x14ac:dyDescent="0.2">
      <c r="A20" s="35" t="str">
        <f>$A$5</f>
        <v>Vierter B</v>
      </c>
      <c r="B20" s="36" t="str">
        <f>$A$6</f>
        <v>Fünfter B</v>
      </c>
      <c r="C20" s="37" t="str">
        <f>$A$3</f>
        <v>Zweiter B</v>
      </c>
      <c r="D20" s="9">
        <v>0</v>
      </c>
      <c r="E20" s="9">
        <v>0</v>
      </c>
      <c r="F20" s="40">
        <f t="shared" si="0"/>
        <v>1</v>
      </c>
      <c r="G20" s="40">
        <f t="shared" si="1"/>
        <v>1</v>
      </c>
      <c r="H20" s="12">
        <f t="shared" si="2"/>
        <v>0.48958333333333348</v>
      </c>
      <c r="I20" s="14" t="s">
        <v>77</v>
      </c>
    </row>
    <row r="21" spans="1:9" ht="20.100000000000001" customHeight="1" x14ac:dyDescent="0.2">
      <c r="A21" s="35" t="str">
        <f>$A$7</f>
        <v>Sechster B</v>
      </c>
      <c r="B21" s="36" t="str">
        <f>$A$4</f>
        <v>Dritter B</v>
      </c>
      <c r="C21" s="37" t="str">
        <f>$A$2</f>
        <v>Erster B</v>
      </c>
      <c r="D21" s="9">
        <v>0</v>
      </c>
      <c r="E21" s="9">
        <v>0</v>
      </c>
      <c r="F21" s="40">
        <f t="shared" si="0"/>
        <v>1</v>
      </c>
      <c r="G21" s="40">
        <f t="shared" si="1"/>
        <v>1</v>
      </c>
      <c r="H21" s="12">
        <f t="shared" si="2"/>
        <v>0.50000000000000011</v>
      </c>
    </row>
    <row r="22" spans="1:9" ht="20.100000000000001" customHeight="1" x14ac:dyDescent="0.2">
      <c r="A22" s="35" t="str">
        <f>$A$3</f>
        <v>Zweiter B</v>
      </c>
      <c r="B22" s="33" t="str">
        <f>$A$7</f>
        <v>Sechster B</v>
      </c>
      <c r="C22" s="37" t="str">
        <f>$A$6</f>
        <v>Fünfter B</v>
      </c>
      <c r="D22" s="9">
        <v>0</v>
      </c>
      <c r="E22" s="9">
        <v>0</v>
      </c>
      <c r="F22" s="40">
        <f t="shared" si="0"/>
        <v>1</v>
      </c>
      <c r="G22" s="40">
        <f t="shared" si="1"/>
        <v>1</v>
      </c>
      <c r="H22" s="12">
        <f t="shared" si="2"/>
        <v>0.51041666666666674</v>
      </c>
    </row>
    <row r="23" spans="1:9" ht="20.100000000000001" customHeight="1" x14ac:dyDescent="0.2">
      <c r="A23" s="35" t="str">
        <f>$A$6</f>
        <v>Fünfter B</v>
      </c>
      <c r="B23" s="36" t="str">
        <f>$A$2</f>
        <v>Erster B</v>
      </c>
      <c r="C23" s="37" t="str">
        <f>$A$5</f>
        <v>Vierter B</v>
      </c>
      <c r="D23" s="9">
        <v>0</v>
      </c>
      <c r="E23" s="9">
        <v>0</v>
      </c>
      <c r="F23" s="40">
        <f t="shared" si="0"/>
        <v>1</v>
      </c>
      <c r="G23" s="40">
        <f t="shared" si="1"/>
        <v>1</v>
      </c>
      <c r="H23" s="12">
        <f t="shared" si="2"/>
        <v>0.52083333333333337</v>
      </c>
    </row>
    <row r="24" spans="1:9" ht="20.100000000000001" customHeight="1" x14ac:dyDescent="0.2">
      <c r="A24" s="35" t="str">
        <f>$A$5</f>
        <v>Vierter B</v>
      </c>
      <c r="B24" s="33" t="str">
        <f>$A$2</f>
        <v>Erster B</v>
      </c>
      <c r="C24" s="36" t="str">
        <f>$A$4</f>
        <v>Dritter B</v>
      </c>
      <c r="D24" s="9">
        <v>0</v>
      </c>
      <c r="E24" s="9">
        <v>0</v>
      </c>
      <c r="F24" s="40">
        <f t="shared" si="0"/>
        <v>1</v>
      </c>
      <c r="G24" s="40">
        <f t="shared" si="1"/>
        <v>1</v>
      </c>
      <c r="H24" s="12">
        <f t="shared" si="2"/>
        <v>0.53125</v>
      </c>
    </row>
    <row r="25" spans="1:9" ht="20.100000000000001" customHeight="1" thickBot="1" x14ac:dyDescent="0.25">
      <c r="A25" s="38" t="str">
        <f>$A$4</f>
        <v>Dritter B</v>
      </c>
      <c r="B25" s="39" t="str">
        <f>$A$3</f>
        <v>Zweiter B</v>
      </c>
      <c r="C25" s="39" t="str">
        <f>$A$7</f>
        <v>Sechster B</v>
      </c>
      <c r="D25" s="10">
        <v>0</v>
      </c>
      <c r="E25" s="10">
        <v>0</v>
      </c>
      <c r="F25" s="41">
        <f t="shared" si="0"/>
        <v>1</v>
      </c>
      <c r="G25" s="41">
        <f t="shared" si="1"/>
        <v>1</v>
      </c>
      <c r="H25" s="13">
        <f t="shared" si="2"/>
        <v>0.54166666666666663</v>
      </c>
    </row>
    <row r="27" spans="1:9" ht="16.5" thickBot="1" x14ac:dyDescent="0.3">
      <c r="A27" s="77" t="s">
        <v>0</v>
      </c>
      <c r="B27" s="77"/>
      <c r="C27" s="77"/>
      <c r="D27" s="77"/>
      <c r="E27" s="77"/>
      <c r="F27" s="77"/>
      <c r="G27" s="77"/>
    </row>
    <row r="28" spans="1:9" ht="20.100000000000001" customHeight="1" thickBot="1" x14ac:dyDescent="0.25">
      <c r="A28" s="28" t="s">
        <v>36</v>
      </c>
      <c r="B28" s="30" t="s">
        <v>51</v>
      </c>
      <c r="C28" s="30" t="s">
        <v>52</v>
      </c>
      <c r="D28" s="30" t="s">
        <v>53</v>
      </c>
      <c r="E28" s="30" t="s">
        <v>54</v>
      </c>
      <c r="F28" s="30" t="s">
        <v>37</v>
      </c>
      <c r="G28" s="31" t="s">
        <v>38</v>
      </c>
    </row>
    <row r="29" spans="1:9" ht="20.100000000000001" customHeight="1" x14ac:dyDescent="0.2">
      <c r="A29" s="32" t="str">
        <f>$A$2</f>
        <v>Erster B</v>
      </c>
      <c r="B29" s="34">
        <f>$D$11+$D$15+$D$19+$E$23+$E$24</f>
        <v>0</v>
      </c>
      <c r="C29" s="34">
        <f>$E$11+$E$15+$E$19+$D$23+$D$24</f>
        <v>0</v>
      </c>
      <c r="D29" s="34">
        <f>$F$11+$F$15+$F$19+$G$23+$G$24</f>
        <v>5</v>
      </c>
      <c r="E29" s="34">
        <f>$G$11+$G$15+$G$19+$F$23+$F$24</f>
        <v>5</v>
      </c>
      <c r="F29" s="42">
        <f t="shared" ref="F29:F34" si="3">B29-C29</f>
        <v>0</v>
      </c>
      <c r="G29" s="43">
        <f t="shared" ref="G29:G34" si="4">D29-E29</f>
        <v>0</v>
      </c>
    </row>
    <row r="30" spans="1:9" ht="20.100000000000001" customHeight="1" x14ac:dyDescent="0.2">
      <c r="A30" s="32" t="str">
        <f>$A$3</f>
        <v>Zweiter B</v>
      </c>
      <c r="B30" s="37">
        <f>$E$11+$D$14+$D$18+$D$22+$E$25</f>
        <v>0</v>
      </c>
      <c r="C30" s="37">
        <f>$D$11+$E$14+$E$18+$E$22+$D$25</f>
        <v>0</v>
      </c>
      <c r="D30" s="37">
        <f>$G$11+$F$14+$F$18+$F$22+$G$25</f>
        <v>5</v>
      </c>
      <c r="E30" s="37">
        <f>$F$11+$G$14+$G$18+$G$22+$F$25</f>
        <v>5</v>
      </c>
      <c r="F30" s="42">
        <f t="shared" si="3"/>
        <v>0</v>
      </c>
      <c r="G30" s="44">
        <f t="shared" si="4"/>
        <v>0</v>
      </c>
    </row>
    <row r="31" spans="1:9" ht="20.100000000000001" customHeight="1" x14ac:dyDescent="0.2">
      <c r="A31" s="32" t="str">
        <f>$A$4</f>
        <v>Dritter B</v>
      </c>
      <c r="B31" s="37">
        <f>$D$12+$D$16+$E$19+$E$21+$D$25</f>
        <v>0</v>
      </c>
      <c r="C31" s="37">
        <f>$E$12+$E$16+$D$19+$D$21+$E$25</f>
        <v>0</v>
      </c>
      <c r="D31" s="37">
        <f>$F$12+$F$16+$G$19+$G$21+$F$25</f>
        <v>5</v>
      </c>
      <c r="E31" s="37">
        <f>$G$12+$G$16+$F$19+$F$21+$G$25</f>
        <v>5</v>
      </c>
      <c r="F31" s="42">
        <f t="shared" si="3"/>
        <v>0</v>
      </c>
      <c r="G31" s="44">
        <f t="shared" si="4"/>
        <v>0</v>
      </c>
    </row>
    <row r="32" spans="1:9" ht="20.100000000000001" customHeight="1" x14ac:dyDescent="0.2">
      <c r="A32" s="32" t="str">
        <f>$A$5</f>
        <v>Vierter B</v>
      </c>
      <c r="B32" s="37">
        <f>$E$12+$E$14+$D$17+$D$20+$D$24</f>
        <v>0</v>
      </c>
      <c r="C32" s="37">
        <f>$D$12+$D$14+$E$17+$E$20+$E$24</f>
        <v>0</v>
      </c>
      <c r="D32" s="37">
        <f>$G$12+$G$14+$F$17+$F$20+$F$24</f>
        <v>5</v>
      </c>
      <c r="E32" s="37">
        <f>$F$12+$F$14+$G$17+$G$20+$G$24</f>
        <v>5</v>
      </c>
      <c r="F32" s="42">
        <f t="shared" si="3"/>
        <v>0</v>
      </c>
      <c r="G32" s="44">
        <f t="shared" si="4"/>
        <v>0</v>
      </c>
    </row>
    <row r="33" spans="1:7" ht="20.100000000000001" customHeight="1" x14ac:dyDescent="0.2">
      <c r="A33" s="32" t="str">
        <f>$A$6</f>
        <v>Fünfter B</v>
      </c>
      <c r="B33" s="37">
        <f>$D$13+$E$16+$E$18+$E$20+$D$23</f>
        <v>0</v>
      </c>
      <c r="C33" s="37">
        <f>$E$13+$D$16+$D$18+$D$20+$E$23</f>
        <v>0</v>
      </c>
      <c r="D33" s="37">
        <f>$F$13+$G$16+$G$18+$G$20+$F$23</f>
        <v>5</v>
      </c>
      <c r="E33" s="37">
        <f>$G$13+$F$16+$F$18+$F$20+$G$23</f>
        <v>5</v>
      </c>
      <c r="F33" s="42">
        <f t="shared" si="3"/>
        <v>0</v>
      </c>
      <c r="G33" s="44">
        <f t="shared" si="4"/>
        <v>0</v>
      </c>
    </row>
    <row r="34" spans="1:7" ht="20.100000000000001" customHeight="1" thickBot="1" x14ac:dyDescent="0.25">
      <c r="A34" s="45" t="str">
        <f>$A$7</f>
        <v>Sechster B</v>
      </c>
      <c r="B34" s="39">
        <f>$E$13+$E$15+$E$17+$D$21+$E$22</f>
        <v>0</v>
      </c>
      <c r="C34" s="39">
        <f>$D$13+$D$15+$D$17+$E$21+$D$22</f>
        <v>0</v>
      </c>
      <c r="D34" s="39">
        <f>$G$13+$G$15+$G$17+$F$21+$G$22</f>
        <v>5</v>
      </c>
      <c r="E34" s="39">
        <f>$F$13+$F$15+$F$17+$G$21+$F$22</f>
        <v>5</v>
      </c>
      <c r="F34" s="46">
        <f t="shared" si="3"/>
        <v>0</v>
      </c>
      <c r="G34" s="47">
        <f t="shared" si="4"/>
        <v>0</v>
      </c>
    </row>
  </sheetData>
  <mergeCells count="9">
    <mergeCell ref="A27:G27"/>
    <mergeCell ref="A5:B5"/>
    <mergeCell ref="A9:H9"/>
    <mergeCell ref="A1:B1"/>
    <mergeCell ref="A2:B2"/>
    <mergeCell ref="A3:B3"/>
    <mergeCell ref="A4:B4"/>
    <mergeCell ref="A6:B6"/>
    <mergeCell ref="A7:B7"/>
  </mergeCells>
  <pageMargins left="0.78740157499999996" right="0.78740157499999996" top="0.984251969" bottom="0.984251969" header="0.4921259845" footer="0.4921259845"/>
  <pageSetup paperSize="9" scale="83" orientation="portrait" horizontalDpi="300" r:id="rId1"/>
  <headerFooter alignWithMargins="0">
    <oddHeader>&amp;C&amp;A</oddHeader>
    <oddFooter>&amp;L&amp;"Arial,Fett"Volleyballclub Neusäß e.V.&amp;"Arial,Standard"
http://www.volleyballclub.de&amp;RTurnier am &amp;D
Stand: &amp;T Uhr</oddFooter>
  </headerFooter>
  <drawing r:id="rId2"/>
  <legacyDrawing r:id="rId3"/>
  <controls>
    <mc:AlternateContent xmlns:mc="http://schemas.openxmlformats.org/markup-compatibility/2006">
      <mc:Choice Requires="x14">
        <control shapeId="6145" r:id="rId4" name="CommandButton1">
          <controlPr locked="0" defaultSize="0" autoLine="0" autoPict="0" r:id="rId5">
            <anchor moveWithCells="1">
              <from>
                <xdr:col>4</xdr:col>
                <xdr:colOff>9525</xdr:colOff>
                <xdr:row>1</xdr:row>
                <xdr:rowOff>0</xdr:rowOff>
              </from>
              <to>
                <xdr:col>7</xdr:col>
                <xdr:colOff>285750</xdr:colOff>
                <xdr:row>2</xdr:row>
                <xdr:rowOff>95250</xdr:rowOff>
              </to>
            </anchor>
          </controlPr>
        </control>
      </mc:Choice>
      <mc:Fallback>
        <control shapeId="6145" r:id="rId4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">
    <pageSetUpPr fitToPage="1"/>
  </sheetPr>
  <dimension ref="A1:J27"/>
  <sheetViews>
    <sheetView zoomScale="80" workbookViewId="0">
      <selection sqref="A1:J1"/>
    </sheetView>
  </sheetViews>
  <sheetFormatPr baseColWidth="10" defaultRowHeight="12.75" x14ac:dyDescent="0.2"/>
  <cols>
    <col min="1" max="1" width="5.140625" bestFit="1" customWidth="1"/>
    <col min="2" max="4" width="18.7109375" customWidth="1"/>
    <col min="5" max="6" width="8.28515625" bestFit="1" customWidth="1"/>
    <col min="7" max="7" width="10" bestFit="1" customWidth="1"/>
    <col min="8" max="8" width="10" customWidth="1"/>
    <col min="9" max="9" width="9.5703125" customWidth="1"/>
    <col min="10" max="10" width="11" customWidth="1"/>
  </cols>
  <sheetData>
    <row r="1" spans="1:10" ht="18.75" customHeight="1" thickBot="1" x14ac:dyDescent="0.3">
      <c r="A1" s="85" t="s">
        <v>39</v>
      </c>
      <c r="B1" s="86"/>
      <c r="C1" s="86"/>
      <c r="D1" s="86"/>
      <c r="E1" s="86"/>
      <c r="F1" s="86"/>
      <c r="G1" s="86"/>
      <c r="H1" s="86"/>
      <c r="I1" s="86"/>
      <c r="J1" s="87"/>
    </row>
    <row r="2" spans="1:10" ht="20.100000000000001" customHeight="1" thickBot="1" x14ac:dyDescent="0.25">
      <c r="A2" s="48" t="s">
        <v>15</v>
      </c>
      <c r="B2" s="49" t="s">
        <v>2</v>
      </c>
      <c r="C2" s="49" t="s">
        <v>3</v>
      </c>
      <c r="D2" s="49" t="s">
        <v>4</v>
      </c>
      <c r="E2" s="49" t="s">
        <v>5</v>
      </c>
      <c r="F2" s="49" t="s">
        <v>6</v>
      </c>
      <c r="G2" s="49" t="s">
        <v>7</v>
      </c>
      <c r="H2" s="49" t="s">
        <v>8</v>
      </c>
      <c r="I2" s="49" t="s">
        <v>9</v>
      </c>
      <c r="J2" s="50" t="s">
        <v>50</v>
      </c>
    </row>
    <row r="3" spans="1:10" ht="3.75" customHeight="1" x14ac:dyDescent="0.2">
      <c r="A3" s="23"/>
      <c r="B3" s="24"/>
      <c r="C3" s="24"/>
      <c r="D3" s="24"/>
      <c r="E3" s="24"/>
      <c r="F3" s="24"/>
      <c r="G3" s="24"/>
      <c r="H3" s="24"/>
      <c r="I3" s="24"/>
      <c r="J3" s="25"/>
    </row>
    <row r="4" spans="1:10" ht="12.75" customHeight="1" x14ac:dyDescent="0.2">
      <c r="A4" s="51"/>
      <c r="B4" s="52" t="s">
        <v>12</v>
      </c>
      <c r="C4" s="52" t="s">
        <v>40</v>
      </c>
      <c r="D4" s="52" t="s">
        <v>43</v>
      </c>
      <c r="E4" s="52"/>
      <c r="F4" s="52"/>
      <c r="G4" s="52"/>
      <c r="H4" s="52"/>
      <c r="I4" s="52"/>
      <c r="J4" s="53"/>
    </row>
    <row r="5" spans="1:10" ht="20.100000000000001" customHeight="1" x14ac:dyDescent="0.2">
      <c r="A5" s="55">
        <v>1</v>
      </c>
      <c r="B5" s="56" t="str">
        <f>'Gruppe A'!A29</f>
        <v>Erster A</v>
      </c>
      <c r="C5" s="56" t="str">
        <f>'Gruppe B'!A30</f>
        <v>Zweiter B</v>
      </c>
      <c r="D5" s="56" t="str">
        <f>'Gruppe B'!A31</f>
        <v>Dritter B</v>
      </c>
      <c r="E5" s="9">
        <v>1</v>
      </c>
      <c r="F5" s="9">
        <v>0</v>
      </c>
      <c r="G5" s="1">
        <f>IF(E5&gt;F5,2,IF(E5=F5,1,0))</f>
        <v>2</v>
      </c>
      <c r="H5" s="1">
        <f>IF(E5&lt;F5,2,IF(E5=F5,1,0))</f>
        <v>0</v>
      </c>
      <c r="I5" s="15">
        <v>0.5625</v>
      </c>
      <c r="J5" s="17" t="s">
        <v>55</v>
      </c>
    </row>
    <row r="6" spans="1:10" ht="12.75" customHeight="1" x14ac:dyDescent="0.2">
      <c r="A6" s="6"/>
      <c r="B6" s="5" t="s">
        <v>13</v>
      </c>
      <c r="C6" s="5" t="s">
        <v>14</v>
      </c>
      <c r="D6" s="5" t="s">
        <v>41</v>
      </c>
      <c r="E6" s="5"/>
      <c r="F6" s="5"/>
      <c r="G6" s="5"/>
      <c r="H6" s="5"/>
      <c r="I6" s="5"/>
      <c r="J6" s="54"/>
    </row>
    <row r="7" spans="1:10" ht="20.100000000000001" customHeight="1" x14ac:dyDescent="0.2">
      <c r="A7" s="55">
        <v>2</v>
      </c>
      <c r="B7" s="56" t="str">
        <f>'Gruppe B'!A29</f>
        <v>Erster B</v>
      </c>
      <c r="C7" s="56" t="str">
        <f>'Gruppe A'!A30</f>
        <v>Zweiter A</v>
      </c>
      <c r="D7" s="56" t="str">
        <f>'Gruppe A'!A31</f>
        <v>Dritter A</v>
      </c>
      <c r="E7" s="9">
        <v>1</v>
      </c>
      <c r="F7" s="9">
        <v>0</v>
      </c>
      <c r="G7" s="1">
        <f>IF(E7&gt;F7,2,IF(E7=F7,1,0))</f>
        <v>2</v>
      </c>
      <c r="H7" s="1">
        <f>IF(E7&lt;F7,2,IF(E7=F7,1,0))</f>
        <v>0</v>
      </c>
      <c r="I7" s="15">
        <v>0.5625</v>
      </c>
      <c r="J7" s="17" t="s">
        <v>56</v>
      </c>
    </row>
    <row r="8" spans="1:10" ht="12.75" customHeight="1" x14ac:dyDescent="0.2">
      <c r="A8" s="6"/>
      <c r="B8" s="5" t="s">
        <v>41</v>
      </c>
      <c r="C8" s="5" t="s">
        <v>42</v>
      </c>
      <c r="D8" s="5" t="s">
        <v>40</v>
      </c>
      <c r="E8" s="5"/>
      <c r="F8" s="5"/>
      <c r="G8" s="5"/>
      <c r="H8" s="5"/>
      <c r="I8" s="5"/>
      <c r="J8" s="54"/>
    </row>
    <row r="9" spans="1:10" ht="19.899999999999999" customHeight="1" x14ac:dyDescent="0.2">
      <c r="A9" s="55">
        <v>3</v>
      </c>
      <c r="B9" s="56" t="str">
        <f>'Gruppe A'!A31</f>
        <v>Dritter A</v>
      </c>
      <c r="C9" s="56" t="str">
        <f>'Gruppe B'!A32</f>
        <v>Vierter B</v>
      </c>
      <c r="D9" s="56" t="str">
        <f>'Gruppe B'!A30</f>
        <v>Zweiter B</v>
      </c>
      <c r="E9" s="9">
        <v>1</v>
      </c>
      <c r="F9" s="9">
        <v>0</v>
      </c>
      <c r="G9" s="1">
        <f>IF(E9&gt;F9,2,IF(E9=F9,1,0))</f>
        <v>2</v>
      </c>
      <c r="H9" s="1">
        <f>IF(E9&lt;F9,2,IF(E9=F9,1,0))</f>
        <v>0</v>
      </c>
      <c r="I9" s="15">
        <f>I7+TIME(0,30,0)</f>
        <v>0.58333333333333337</v>
      </c>
      <c r="J9" s="17" t="s">
        <v>55</v>
      </c>
    </row>
    <row r="10" spans="1:10" ht="12.75" customHeight="1" x14ac:dyDescent="0.2">
      <c r="A10" s="6"/>
      <c r="B10" s="5" t="s">
        <v>43</v>
      </c>
      <c r="C10" s="5" t="s">
        <v>44</v>
      </c>
      <c r="D10" s="5" t="s">
        <v>14</v>
      </c>
      <c r="E10" s="5"/>
      <c r="F10" s="5"/>
      <c r="G10" s="5"/>
      <c r="H10" s="5"/>
      <c r="I10" s="5"/>
      <c r="J10" s="54"/>
    </row>
    <row r="11" spans="1:10" ht="19.899999999999999" customHeight="1" x14ac:dyDescent="0.2">
      <c r="A11" s="55">
        <v>4</v>
      </c>
      <c r="B11" s="56" t="str">
        <f>'Gruppe B'!A31</f>
        <v>Dritter B</v>
      </c>
      <c r="C11" s="56" t="str">
        <f>'Gruppe A'!A32</f>
        <v>Vierter A</v>
      </c>
      <c r="D11" s="56" t="str">
        <f>'Gruppe A'!A30</f>
        <v>Zweiter A</v>
      </c>
      <c r="E11" s="9">
        <v>1</v>
      </c>
      <c r="F11" s="9">
        <v>0</v>
      </c>
      <c r="G11" s="1">
        <f>IF(E11&gt;F11,2,IF(E11=F11,1,0))</f>
        <v>2</v>
      </c>
      <c r="H11" s="1">
        <f>IF(E11&lt;F11,2,IF(E11=F11,1,0))</f>
        <v>0</v>
      </c>
      <c r="I11" s="15">
        <f>I7+TIME(0,30,0)</f>
        <v>0.58333333333333337</v>
      </c>
      <c r="J11" s="17" t="s">
        <v>56</v>
      </c>
    </row>
    <row r="12" spans="1:10" ht="12.75" customHeight="1" x14ac:dyDescent="0.2">
      <c r="A12" s="6"/>
      <c r="B12" s="5" t="s">
        <v>45</v>
      </c>
      <c r="C12" s="5" t="s">
        <v>46</v>
      </c>
      <c r="D12" s="5" t="s">
        <v>13</v>
      </c>
      <c r="E12" s="5"/>
      <c r="F12" s="5"/>
      <c r="G12" s="5"/>
      <c r="H12" s="5"/>
      <c r="I12" s="5"/>
      <c r="J12" s="54"/>
    </row>
    <row r="13" spans="1:10" ht="19.899999999999999" customHeight="1" x14ac:dyDescent="0.2">
      <c r="A13" s="55">
        <v>5</v>
      </c>
      <c r="B13" s="56" t="str">
        <f>'Gruppe A'!A33</f>
        <v>Fünfter A</v>
      </c>
      <c r="C13" s="56" t="str">
        <f>'Gruppe B'!A34</f>
        <v>Sechster B</v>
      </c>
      <c r="D13" s="56" t="str">
        <f>'Gruppe B'!A29</f>
        <v>Erster B</v>
      </c>
      <c r="E13" s="9">
        <v>1</v>
      </c>
      <c r="F13" s="9">
        <v>0</v>
      </c>
      <c r="G13" s="1">
        <f>IF(E13&gt;F13,2,IF(E13=F13,1,0))</f>
        <v>2</v>
      </c>
      <c r="H13" s="1">
        <f>IF(E13&lt;F13,2,IF(E13=F13,1,0))</f>
        <v>0</v>
      </c>
      <c r="I13" s="15">
        <f>I11+TIME(0,30,0)</f>
        <v>0.60416666666666674</v>
      </c>
      <c r="J13" s="17" t="s">
        <v>55</v>
      </c>
    </row>
    <row r="14" spans="1:10" ht="12.75" customHeight="1" x14ac:dyDescent="0.2">
      <c r="A14" s="6"/>
      <c r="B14" s="5" t="s">
        <v>47</v>
      </c>
      <c r="C14" s="5" t="s">
        <v>48</v>
      </c>
      <c r="D14" s="5" t="s">
        <v>12</v>
      </c>
      <c r="E14" s="5"/>
      <c r="F14" s="5"/>
      <c r="G14" s="5"/>
      <c r="H14" s="5"/>
      <c r="I14" s="5"/>
      <c r="J14" s="54"/>
    </row>
    <row r="15" spans="1:10" ht="20.100000000000001" customHeight="1" thickBot="1" x14ac:dyDescent="0.25">
      <c r="A15" s="57">
        <v>6</v>
      </c>
      <c r="B15" s="58" t="str">
        <f>'Gruppe B'!A33</f>
        <v>Fünfter B</v>
      </c>
      <c r="C15" s="58" t="str">
        <f>'Gruppe A'!A34</f>
        <v>Sechster A</v>
      </c>
      <c r="D15" s="58" t="str">
        <f>'Gruppe A'!A29</f>
        <v>Erster A</v>
      </c>
      <c r="E15" s="10">
        <v>1</v>
      </c>
      <c r="F15" s="10">
        <v>0</v>
      </c>
      <c r="G15" s="2">
        <f>IF(E15&gt;F15,2,IF(E15=F15,1,0))</f>
        <v>2</v>
      </c>
      <c r="H15" s="2">
        <f>IF(E15&lt;F15,2,IF(E15=F15,1,0))</f>
        <v>0</v>
      </c>
      <c r="I15" s="16">
        <f>I11+TIME(0,30,0)</f>
        <v>0.60416666666666674</v>
      </c>
      <c r="J15" s="18" t="s">
        <v>56</v>
      </c>
    </row>
    <row r="17" spans="1:3" x14ac:dyDescent="0.2">
      <c r="A17" s="27" t="s">
        <v>67</v>
      </c>
    </row>
    <row r="27" spans="1:3" x14ac:dyDescent="0.2">
      <c r="C27" s="7"/>
    </row>
  </sheetData>
  <mergeCells count="1">
    <mergeCell ref="A1:J1"/>
  </mergeCells>
  <printOptions horizontalCentered="1"/>
  <pageMargins left="0.78740157480314965" right="0.78740157480314965" top="0.98425196850393704" bottom="0.98425196850393704" header="0.51181102362204722" footer="0.51181102362204722"/>
  <pageSetup paperSize="9" orientation="landscape" horizontalDpi="300" verticalDpi="0" r:id="rId1"/>
  <headerFooter alignWithMargins="0">
    <oddHeader>&amp;C&amp;A</oddHeader>
    <oddFooter>&amp;L&amp;"Arial,Fett"Volleyballclub Neusäß e.V.&amp;"Arial,Standard"
http://www.volleyballclub.de&amp;RTurnier am &amp;D
Stand: &amp;T Uhr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11">
    <pageSetUpPr fitToPage="1"/>
  </sheetPr>
  <dimension ref="A1:L26"/>
  <sheetViews>
    <sheetView zoomScale="80" workbookViewId="0">
      <selection sqref="A1:L1"/>
    </sheetView>
  </sheetViews>
  <sheetFormatPr baseColWidth="10" defaultRowHeight="12.75" x14ac:dyDescent="0.2"/>
  <cols>
    <col min="1" max="1" width="5.140625" style="14" bestFit="1" customWidth="1"/>
    <col min="2" max="4" width="18.7109375" style="14" customWidth="1"/>
    <col min="5" max="6" width="8.28515625" style="14" customWidth="1"/>
    <col min="7" max="8" width="8.28515625" style="14" bestFit="1" customWidth="1"/>
    <col min="9" max="9" width="10" style="14" bestFit="1" customWidth="1"/>
    <col min="10" max="10" width="10" style="14" customWidth="1"/>
    <col min="11" max="11" width="9.5703125" style="14" customWidth="1"/>
    <col min="12" max="12" width="8.7109375" style="14" customWidth="1"/>
    <col min="13" max="16384" width="11.42578125" style="14"/>
  </cols>
  <sheetData>
    <row r="1" spans="1:12" ht="16.5" thickBot="1" x14ac:dyDescent="0.3">
      <c r="A1" s="88" t="s">
        <v>35</v>
      </c>
      <c r="B1" s="89"/>
      <c r="C1" s="89"/>
      <c r="D1" s="89"/>
      <c r="E1" s="89"/>
      <c r="F1" s="89"/>
      <c r="G1" s="89"/>
      <c r="H1" s="89"/>
      <c r="I1" s="89"/>
      <c r="J1" s="89"/>
      <c r="K1" s="89"/>
      <c r="L1" s="90"/>
    </row>
    <row r="2" spans="1:12" ht="51.75" thickBot="1" x14ac:dyDescent="0.25">
      <c r="A2" s="59" t="s">
        <v>32</v>
      </c>
      <c r="B2" s="60" t="s">
        <v>2</v>
      </c>
      <c r="C2" s="60" t="s">
        <v>3</v>
      </c>
      <c r="D2" s="60" t="s">
        <v>4</v>
      </c>
      <c r="E2" s="60" t="s">
        <v>71</v>
      </c>
      <c r="F2" s="60" t="s">
        <v>72</v>
      </c>
      <c r="G2" s="60" t="s">
        <v>73</v>
      </c>
      <c r="H2" s="60" t="s">
        <v>74</v>
      </c>
      <c r="I2" s="60" t="s">
        <v>75</v>
      </c>
      <c r="J2" s="60" t="s">
        <v>76</v>
      </c>
      <c r="K2" s="60" t="s">
        <v>9</v>
      </c>
      <c r="L2" s="61" t="s">
        <v>50</v>
      </c>
    </row>
    <row r="3" spans="1:12" ht="3.75" customHeight="1" x14ac:dyDescent="0.2">
      <c r="A3" s="62"/>
      <c r="B3" s="63"/>
      <c r="C3" s="63"/>
      <c r="D3" s="63"/>
      <c r="E3" s="63"/>
      <c r="F3" s="63"/>
      <c r="G3" s="63"/>
      <c r="H3" s="63"/>
      <c r="I3" s="63"/>
      <c r="J3" s="63"/>
      <c r="K3" s="63"/>
      <c r="L3" s="64"/>
    </row>
    <row r="4" spans="1:12" ht="12.75" customHeight="1" x14ac:dyDescent="0.2">
      <c r="A4" s="65"/>
      <c r="B4" s="66" t="s">
        <v>28</v>
      </c>
      <c r="C4" s="66" t="s">
        <v>29</v>
      </c>
      <c r="D4" s="66" t="s">
        <v>17</v>
      </c>
      <c r="E4" s="66"/>
      <c r="F4" s="66"/>
      <c r="G4" s="66"/>
      <c r="H4" s="66"/>
      <c r="I4" s="66"/>
      <c r="J4" s="66"/>
      <c r="K4" s="66"/>
      <c r="L4" s="67"/>
    </row>
    <row r="5" spans="1:12" ht="20.100000000000001" customHeight="1" x14ac:dyDescent="0.2">
      <c r="A5" s="68">
        <v>9</v>
      </c>
      <c r="B5" s="37" t="str">
        <f>IF(Überkreuz!G13&gt;Überkreuz!H13,Überkreuz!B13,Überkreuz!C13)</f>
        <v>Fünfter A</v>
      </c>
      <c r="C5" s="37" t="str">
        <f>IF(Überkreuz!G15&gt;Überkreuz!H15,Überkreuz!B15,Überkreuz!C15)</f>
        <v>Fünfter B</v>
      </c>
      <c r="D5" s="37" t="str">
        <f>IF(Überkreuz!G7&gt;Überkreuz!H7,Überkreuz!B7,Überkreuz!C7)</f>
        <v>Erster B</v>
      </c>
      <c r="E5" s="9">
        <v>0</v>
      </c>
      <c r="F5" s="9">
        <v>0</v>
      </c>
      <c r="G5" s="9">
        <v>1</v>
      </c>
      <c r="H5" s="9">
        <v>0</v>
      </c>
      <c r="I5" s="69">
        <f>IF(G5&gt;H5,2,IF(G5=H5,1,0))</f>
        <v>2</v>
      </c>
      <c r="J5" s="69">
        <f>IF(G5&lt;H5,2,IF(G5=H5,1,0))</f>
        <v>0</v>
      </c>
      <c r="K5" s="15">
        <v>0.625</v>
      </c>
      <c r="L5" s="17" t="s">
        <v>55</v>
      </c>
    </row>
    <row r="6" spans="1:12" ht="12.75" customHeight="1" x14ac:dyDescent="0.2">
      <c r="A6" s="70"/>
      <c r="B6" s="71" t="s">
        <v>30</v>
      </c>
      <c r="C6" s="71" t="s">
        <v>31</v>
      </c>
      <c r="D6" s="71" t="s">
        <v>26</v>
      </c>
      <c r="E6" s="71"/>
      <c r="F6" s="71"/>
      <c r="G6" s="71"/>
      <c r="H6" s="71"/>
      <c r="I6" s="71"/>
      <c r="J6" s="71"/>
      <c r="K6" s="71"/>
      <c r="L6" s="72"/>
    </row>
    <row r="7" spans="1:12" ht="20.100000000000001" customHeight="1" thickBot="1" x14ac:dyDescent="0.25">
      <c r="A7" s="73">
        <v>11</v>
      </c>
      <c r="B7" s="39" t="str">
        <f>IF(Überkreuz!G13&lt;Überkreuz!H13,Überkreuz!B13,Überkreuz!C13)</f>
        <v>Sechster B</v>
      </c>
      <c r="C7" s="39" t="str">
        <f>IF(Überkreuz!G15&lt;Überkreuz!H15,Überkreuz!B15,Überkreuz!C15)</f>
        <v>Sechster A</v>
      </c>
      <c r="D7" s="39" t="str">
        <f>IF(Überkreuz!G7&lt;Überkreuz!H7,Überkreuz!B7,Überkreuz!C7)</f>
        <v>Zweiter A</v>
      </c>
      <c r="E7" s="10">
        <v>0</v>
      </c>
      <c r="F7" s="10">
        <v>0</v>
      </c>
      <c r="G7" s="10">
        <v>1</v>
      </c>
      <c r="H7" s="10">
        <v>0</v>
      </c>
      <c r="I7" s="74">
        <f>IF(G7&gt;H7,2,IF(G7=H7,1,0))</f>
        <v>2</v>
      </c>
      <c r="J7" s="74">
        <f>IF(G7&lt;H7,2,IF(G7=H7,1,0))</f>
        <v>0</v>
      </c>
      <c r="K7" s="16">
        <v>0.625</v>
      </c>
      <c r="L7" s="18" t="s">
        <v>56</v>
      </c>
    </row>
    <row r="8" spans="1:12" ht="22.5" customHeight="1" thickBot="1" x14ac:dyDescent="0.25"/>
    <row r="9" spans="1:12" ht="16.5" thickBot="1" x14ac:dyDescent="0.3">
      <c r="A9" s="88" t="s">
        <v>34</v>
      </c>
      <c r="B9" s="89"/>
      <c r="C9" s="89"/>
      <c r="D9" s="89"/>
      <c r="E9" s="89"/>
      <c r="F9" s="89"/>
      <c r="G9" s="89"/>
      <c r="H9" s="89"/>
      <c r="I9" s="89"/>
      <c r="J9" s="89"/>
      <c r="K9" s="89"/>
      <c r="L9" s="90"/>
    </row>
    <row r="10" spans="1:12" ht="51.75" thickBot="1" x14ac:dyDescent="0.25">
      <c r="A10" s="59" t="s">
        <v>32</v>
      </c>
      <c r="B10" s="60" t="s">
        <v>2</v>
      </c>
      <c r="C10" s="60" t="s">
        <v>3</v>
      </c>
      <c r="D10" s="60" t="s">
        <v>4</v>
      </c>
      <c r="E10" s="60" t="s">
        <v>71</v>
      </c>
      <c r="F10" s="60" t="s">
        <v>72</v>
      </c>
      <c r="G10" s="60" t="s">
        <v>73</v>
      </c>
      <c r="H10" s="60" t="s">
        <v>74</v>
      </c>
      <c r="I10" s="60" t="s">
        <v>75</v>
      </c>
      <c r="J10" s="60" t="s">
        <v>76</v>
      </c>
      <c r="K10" s="60" t="s">
        <v>9</v>
      </c>
      <c r="L10" s="61" t="s">
        <v>50</v>
      </c>
    </row>
    <row r="11" spans="1:12" ht="3.75" customHeight="1" x14ac:dyDescent="0.2">
      <c r="A11" s="62"/>
      <c r="B11" s="63"/>
      <c r="C11" s="63"/>
      <c r="D11" s="63"/>
      <c r="E11" s="63"/>
      <c r="F11" s="63"/>
      <c r="G11" s="63"/>
      <c r="H11" s="63"/>
      <c r="I11" s="63"/>
      <c r="J11" s="63"/>
      <c r="K11" s="63"/>
      <c r="L11" s="64"/>
    </row>
    <row r="12" spans="1:12" ht="12.75" customHeight="1" x14ac:dyDescent="0.2">
      <c r="A12" s="65"/>
      <c r="B12" s="66" t="s">
        <v>18</v>
      </c>
      <c r="C12" s="66" t="s">
        <v>19</v>
      </c>
      <c r="D12" s="66" t="s">
        <v>16</v>
      </c>
      <c r="E12" s="66"/>
      <c r="F12" s="66"/>
      <c r="G12" s="66"/>
      <c r="H12" s="66"/>
      <c r="I12" s="66"/>
      <c r="J12" s="66"/>
      <c r="K12" s="66"/>
      <c r="L12" s="67"/>
    </row>
    <row r="13" spans="1:12" ht="20.100000000000001" customHeight="1" x14ac:dyDescent="0.2">
      <c r="A13" s="68">
        <v>5</v>
      </c>
      <c r="B13" s="37" t="str">
        <f>IF(Überkreuz!G9&gt;Überkreuz!H9,Überkreuz!B9,Überkreuz!C9)</f>
        <v>Dritter A</v>
      </c>
      <c r="C13" s="37" t="str">
        <f>IF(Überkreuz!G11&gt;Überkreuz!H11,Überkreuz!B11,Überkreuz!C11)</f>
        <v>Dritter B</v>
      </c>
      <c r="D13" s="37" t="str">
        <f>IF(Überkreuz!G5&gt;Überkreuz!H5,Überkreuz!B5,Überkreuz!C5)</f>
        <v>Erster A</v>
      </c>
      <c r="E13" s="9">
        <v>0</v>
      </c>
      <c r="F13" s="9">
        <v>0</v>
      </c>
      <c r="G13" s="9">
        <v>1</v>
      </c>
      <c r="H13" s="9">
        <v>0</v>
      </c>
      <c r="I13" s="69">
        <f>IF(G13&gt;H13,2,IF(G13=H13,1,0))</f>
        <v>2</v>
      </c>
      <c r="J13" s="69">
        <f>IF(G13&lt;H13,2,IF(G13=H13,1,0))</f>
        <v>0</v>
      </c>
      <c r="K13" s="15">
        <v>0.64583333333333337</v>
      </c>
      <c r="L13" s="17" t="s">
        <v>55</v>
      </c>
    </row>
    <row r="14" spans="1:12" ht="12.75" customHeight="1" x14ac:dyDescent="0.2">
      <c r="A14" s="70"/>
      <c r="B14" s="71" t="s">
        <v>25</v>
      </c>
      <c r="C14" s="71" t="s">
        <v>27</v>
      </c>
      <c r="D14" s="71" t="s">
        <v>20</v>
      </c>
      <c r="E14" s="71"/>
      <c r="F14" s="71"/>
      <c r="G14" s="71"/>
      <c r="H14" s="71"/>
      <c r="I14" s="71"/>
      <c r="J14" s="71"/>
      <c r="K14" s="71"/>
      <c r="L14" s="72"/>
    </row>
    <row r="15" spans="1:12" ht="20.100000000000001" customHeight="1" thickBot="1" x14ac:dyDescent="0.25">
      <c r="A15" s="73">
        <v>7</v>
      </c>
      <c r="B15" s="39" t="str">
        <f>IF(Überkreuz!G9&lt;Überkreuz!H9,Überkreuz!B9,Überkreuz!C9)</f>
        <v>Vierter B</v>
      </c>
      <c r="C15" s="39" t="str">
        <f>IF(Überkreuz!G11&lt;Überkreuz!H11,Überkreuz!B11,Überkreuz!C11)</f>
        <v>Vierter A</v>
      </c>
      <c r="D15" s="39" t="str">
        <f>IF(Überkreuz!G5&lt;Überkreuz!H5,Überkreuz!B5,Überkreuz!C5)</f>
        <v>Zweiter B</v>
      </c>
      <c r="E15" s="10">
        <v>0</v>
      </c>
      <c r="F15" s="10">
        <v>0</v>
      </c>
      <c r="G15" s="10">
        <v>1</v>
      </c>
      <c r="H15" s="10">
        <v>0</v>
      </c>
      <c r="I15" s="74">
        <f>IF(G15&gt;H15,2,IF(G15=H15,1,0))</f>
        <v>2</v>
      </c>
      <c r="J15" s="74">
        <f>IF(G15&lt;H15,2,IF(G15=H15,1,0))</f>
        <v>0</v>
      </c>
      <c r="K15" s="16">
        <v>0.64583333333333337</v>
      </c>
      <c r="L15" s="18" t="s">
        <v>56</v>
      </c>
    </row>
    <row r="16" spans="1:12" ht="21" customHeight="1" thickBot="1" x14ac:dyDescent="0.25"/>
    <row r="17" spans="1:12" ht="13.5" customHeight="1" thickBot="1" x14ac:dyDescent="0.3">
      <c r="A17" s="88" t="s">
        <v>33</v>
      </c>
      <c r="B17" s="89"/>
      <c r="C17" s="89"/>
      <c r="D17" s="89"/>
      <c r="E17" s="89"/>
      <c r="F17" s="89"/>
      <c r="G17" s="89"/>
      <c r="H17" s="89"/>
      <c r="I17" s="89"/>
      <c r="J17" s="89"/>
      <c r="K17" s="89"/>
      <c r="L17" s="90"/>
    </row>
    <row r="18" spans="1:12" ht="51.75" thickBot="1" x14ac:dyDescent="0.25">
      <c r="A18" s="59" t="s">
        <v>32</v>
      </c>
      <c r="B18" s="60" t="s">
        <v>2</v>
      </c>
      <c r="C18" s="60" t="s">
        <v>3</v>
      </c>
      <c r="D18" s="60" t="s">
        <v>4</v>
      </c>
      <c r="E18" s="60" t="s">
        <v>71</v>
      </c>
      <c r="F18" s="60" t="s">
        <v>72</v>
      </c>
      <c r="G18" s="60" t="s">
        <v>73</v>
      </c>
      <c r="H18" s="60" t="s">
        <v>74</v>
      </c>
      <c r="I18" s="60" t="s">
        <v>75</v>
      </c>
      <c r="J18" s="60" t="s">
        <v>76</v>
      </c>
      <c r="K18" s="60" t="s">
        <v>9</v>
      </c>
      <c r="L18" s="61" t="s">
        <v>50</v>
      </c>
    </row>
    <row r="19" spans="1:12" ht="3.75" customHeight="1" x14ac:dyDescent="0.2">
      <c r="A19" s="62"/>
      <c r="B19" s="63"/>
      <c r="C19" s="63"/>
      <c r="D19" s="63"/>
      <c r="E19" s="63"/>
      <c r="F19" s="63"/>
      <c r="G19" s="63"/>
      <c r="H19" s="63"/>
      <c r="I19" s="63"/>
      <c r="J19" s="63"/>
      <c r="K19" s="63"/>
      <c r="L19" s="64"/>
    </row>
    <row r="20" spans="1:12" ht="12.75" customHeight="1" x14ac:dyDescent="0.2">
      <c r="A20" s="65"/>
      <c r="B20" s="66" t="s">
        <v>16</v>
      </c>
      <c r="C20" s="66" t="s">
        <v>17</v>
      </c>
      <c r="D20" s="66" t="s">
        <v>18</v>
      </c>
      <c r="E20" s="66"/>
      <c r="F20" s="66"/>
      <c r="G20" s="66"/>
      <c r="H20" s="66"/>
      <c r="I20" s="66"/>
      <c r="J20" s="66"/>
      <c r="K20" s="66"/>
      <c r="L20" s="67"/>
    </row>
    <row r="21" spans="1:12" ht="20.100000000000001" customHeight="1" x14ac:dyDescent="0.2">
      <c r="A21" s="68">
        <v>1</v>
      </c>
      <c r="B21" s="37" t="str">
        <f>IF(Überkreuz!G5&gt;Überkreuz!H5,Überkreuz!B5,Überkreuz!C5)</f>
        <v>Erster A</v>
      </c>
      <c r="C21" s="37" t="str">
        <f>IF(Überkreuz!G7&gt;Überkreuz!H7,Überkreuz!B7,Überkreuz!C7)</f>
        <v>Erster B</v>
      </c>
      <c r="D21" s="37" t="str">
        <f>IF(Überkreuz!G9&gt;Überkreuz!H9,Überkreuz!B9,Überkreuz!C9)</f>
        <v>Dritter A</v>
      </c>
      <c r="E21" s="9">
        <v>0</v>
      </c>
      <c r="F21" s="9">
        <v>0</v>
      </c>
      <c r="G21" s="9">
        <v>1</v>
      </c>
      <c r="H21" s="9">
        <v>0</v>
      </c>
      <c r="I21" s="69">
        <f>IF(G21&gt;H21,2,IF(G21=H21,1,0))</f>
        <v>2</v>
      </c>
      <c r="J21" s="69">
        <f>IF(G21&lt;H21,2,IF(G21=H21,1,0))</f>
        <v>0</v>
      </c>
      <c r="K21" s="15">
        <v>0.66666666666666663</v>
      </c>
      <c r="L21" s="17" t="s">
        <v>55</v>
      </c>
    </row>
    <row r="22" spans="1:12" ht="12.75" customHeight="1" x14ac:dyDescent="0.2">
      <c r="A22" s="70"/>
      <c r="B22" s="71" t="s">
        <v>20</v>
      </c>
      <c r="C22" s="71" t="s">
        <v>26</v>
      </c>
      <c r="D22" s="71" t="s">
        <v>25</v>
      </c>
      <c r="E22" s="71"/>
      <c r="F22" s="71"/>
      <c r="G22" s="71"/>
      <c r="H22" s="71"/>
      <c r="I22" s="71"/>
      <c r="J22" s="71"/>
      <c r="K22" s="71"/>
      <c r="L22" s="72"/>
    </row>
    <row r="23" spans="1:12" ht="20.100000000000001" customHeight="1" thickBot="1" x14ac:dyDescent="0.25">
      <c r="A23" s="73">
        <v>3</v>
      </c>
      <c r="B23" s="39" t="str">
        <f>IF(Überkreuz!G5&lt;Überkreuz!H5,Überkreuz!B5,Überkreuz!C5)</f>
        <v>Zweiter B</v>
      </c>
      <c r="C23" s="39" t="str">
        <f>IF(Überkreuz!G7&lt;Überkreuz!H7,Überkreuz!B7,Überkreuz!C7)</f>
        <v>Zweiter A</v>
      </c>
      <c r="D23" s="39" t="str">
        <f>IF(Überkreuz!G9&lt;Überkreuz!H9,Überkreuz!B9,Überkreuz!C9)</f>
        <v>Vierter B</v>
      </c>
      <c r="E23" s="10">
        <v>0</v>
      </c>
      <c r="F23" s="10">
        <v>0</v>
      </c>
      <c r="G23" s="10">
        <v>1</v>
      </c>
      <c r="H23" s="10">
        <v>0</v>
      </c>
      <c r="I23" s="74">
        <f>IF(G23&gt;H23,2,IF(G23=H23,1,0))</f>
        <v>2</v>
      </c>
      <c r="J23" s="74">
        <f>IF(G23&lt;H23,2,IF(G23=H23,1,0))</f>
        <v>0</v>
      </c>
      <c r="K23" s="16">
        <v>0.66666666666666663</v>
      </c>
      <c r="L23" s="18" t="s">
        <v>56</v>
      </c>
    </row>
    <row r="26" spans="1:12" x14ac:dyDescent="0.2">
      <c r="A26" s="75" t="s">
        <v>69</v>
      </c>
    </row>
  </sheetData>
  <mergeCells count="3">
    <mergeCell ref="A1:L1"/>
    <mergeCell ref="A9:L9"/>
    <mergeCell ref="A17:L17"/>
  </mergeCells>
  <printOptions horizontalCentered="1"/>
  <pageMargins left="0.78740157480314965" right="0.78740157480314965" top="0.77" bottom="0.81" header="0.51181102362204722" footer="0.38"/>
  <pageSetup paperSize="9" scale="95" orientation="landscape" horizontalDpi="300" verticalDpi="0" r:id="rId1"/>
  <headerFooter alignWithMargins="0">
    <oddHeader>&amp;C&amp;A</oddHeader>
    <oddFooter>&amp;L&amp;"Arial,Fett"Volleyballclub Neusäß e.V.&amp;"Arial,Standard"
http://www.volleyballclub.de&amp;RTurnier am &amp;D
Stand: &amp;T Uhr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111">
    <pageSetUpPr fitToPage="1"/>
  </sheetPr>
  <dimension ref="A1:B47"/>
  <sheetViews>
    <sheetView workbookViewId="0">
      <selection sqref="A1:B1"/>
    </sheetView>
  </sheetViews>
  <sheetFormatPr baseColWidth="10" defaultRowHeight="12.75" x14ac:dyDescent="0.2"/>
  <cols>
    <col min="1" max="1" width="11" customWidth="1"/>
    <col min="2" max="2" width="56.28515625" customWidth="1"/>
    <col min="3" max="4" width="18.7109375" customWidth="1"/>
    <col min="6" max="6" width="17.42578125" customWidth="1"/>
    <col min="7" max="7" width="18.7109375" customWidth="1"/>
    <col min="8" max="8" width="10" bestFit="1" customWidth="1"/>
    <col min="9" max="9" width="9.5703125" customWidth="1"/>
    <col min="10" max="10" width="11" customWidth="1"/>
  </cols>
  <sheetData>
    <row r="1" spans="1:2" ht="21" thickBot="1" x14ac:dyDescent="0.35">
      <c r="A1" s="91" t="s">
        <v>49</v>
      </c>
      <c r="B1" s="92"/>
    </row>
    <row r="2" spans="1:2" ht="20.100000000000001" customHeight="1" x14ac:dyDescent="0.25">
      <c r="A2" s="19" t="s">
        <v>10</v>
      </c>
      <c r="B2" s="20" t="s">
        <v>36</v>
      </c>
    </row>
    <row r="3" spans="1:2" ht="20.100000000000001" customHeight="1" x14ac:dyDescent="0.25">
      <c r="A3" s="21">
        <v>1</v>
      </c>
      <c r="B3" s="3" t="str">
        <f>IF(Platzierung!I21&gt;Platzierung!J21,Platzierung!B21,Platzierung!C21)</f>
        <v>Erster A</v>
      </c>
    </row>
    <row r="4" spans="1:2" ht="20.100000000000001" customHeight="1" x14ac:dyDescent="0.25">
      <c r="A4" s="21">
        <v>2</v>
      </c>
      <c r="B4" s="3" t="str">
        <f>IF(Platzierung!I21&lt;Platzierung!J21,Platzierung!B21,Platzierung!C21)</f>
        <v>Erster B</v>
      </c>
    </row>
    <row r="5" spans="1:2" ht="20.100000000000001" customHeight="1" x14ac:dyDescent="0.25">
      <c r="A5" s="21">
        <v>3</v>
      </c>
      <c r="B5" s="3" t="str">
        <f>IF(Platzierung!I23&gt;Platzierung!J23,Platzierung!B23,Platzierung!C23)</f>
        <v>Zweiter B</v>
      </c>
    </row>
    <row r="6" spans="1:2" ht="20.100000000000001" customHeight="1" x14ac:dyDescent="0.25">
      <c r="A6" s="21">
        <v>4</v>
      </c>
      <c r="B6" s="3" t="str">
        <f>IF(Platzierung!I23&lt;Platzierung!J23,Platzierung!B23,Platzierung!C23)</f>
        <v>Zweiter A</v>
      </c>
    </row>
    <row r="7" spans="1:2" ht="20.100000000000001" customHeight="1" x14ac:dyDescent="0.25">
      <c r="A7" s="21">
        <v>5</v>
      </c>
      <c r="B7" s="3" t="str">
        <f>IF(Platzierung!I13&gt;Platzierung!J13,Platzierung!B13,Platzierung!C13)</f>
        <v>Dritter A</v>
      </c>
    </row>
    <row r="8" spans="1:2" ht="20.100000000000001" customHeight="1" x14ac:dyDescent="0.25">
      <c r="A8" s="21">
        <v>6</v>
      </c>
      <c r="B8" s="3" t="str">
        <f>IF(Platzierung!I13&lt;Platzierung!J13,Platzierung!B13,Platzierung!C13)</f>
        <v>Dritter B</v>
      </c>
    </row>
    <row r="9" spans="1:2" ht="20.100000000000001" customHeight="1" x14ac:dyDescent="0.25">
      <c r="A9" s="21">
        <v>7</v>
      </c>
      <c r="B9" s="3" t="str">
        <f>IF(Platzierung!I15&gt;Platzierung!J15,Platzierung!B15,Platzierung!C15)</f>
        <v>Vierter B</v>
      </c>
    </row>
    <row r="10" spans="1:2" ht="20.100000000000001" customHeight="1" x14ac:dyDescent="0.25">
      <c r="A10" s="21">
        <v>8</v>
      </c>
      <c r="B10" s="3" t="str">
        <f>IF(Platzierung!I15&lt;Platzierung!J15,Platzierung!B15,Platzierung!C15)</f>
        <v>Vierter A</v>
      </c>
    </row>
    <row r="11" spans="1:2" ht="20.100000000000001" customHeight="1" x14ac:dyDescent="0.25">
      <c r="A11" s="21">
        <v>9</v>
      </c>
      <c r="B11" s="3" t="str">
        <f>IF(Platzierung!I5&gt;Platzierung!J5,Platzierung!B5,Platzierung!C5)</f>
        <v>Fünfter A</v>
      </c>
    </row>
    <row r="12" spans="1:2" ht="20.100000000000001" customHeight="1" x14ac:dyDescent="0.25">
      <c r="A12" s="21">
        <v>10</v>
      </c>
      <c r="B12" s="3" t="str">
        <f>IF(Platzierung!I5&lt;Platzierung!J5,Platzierung!B5,Platzierung!C5)</f>
        <v>Fünfter B</v>
      </c>
    </row>
    <row r="13" spans="1:2" ht="20.100000000000001" customHeight="1" x14ac:dyDescent="0.25">
      <c r="A13" s="21">
        <v>11</v>
      </c>
      <c r="B13" s="3" t="str">
        <f>IF(Platzierung!I7&gt;Platzierung!J7,Platzierung!B7,Platzierung!C7)</f>
        <v>Sechster B</v>
      </c>
    </row>
    <row r="14" spans="1:2" ht="20.100000000000001" customHeight="1" thickBot="1" x14ac:dyDescent="0.3">
      <c r="A14" s="22">
        <v>12</v>
      </c>
      <c r="B14" s="4" t="str">
        <f>IF(Platzierung!I7&lt;Platzierung!J7,Platzierung!B7,Platzierung!C7)</f>
        <v>Sechster A</v>
      </c>
    </row>
    <row r="15" spans="1:2" ht="20.100000000000001" customHeight="1" x14ac:dyDescent="0.2"/>
    <row r="16" spans="1:2" ht="20.100000000000001" customHeight="1" x14ac:dyDescent="0.2"/>
    <row r="17" ht="20.100000000000001" customHeight="1" x14ac:dyDescent="0.2"/>
    <row r="18" ht="20.100000000000001" customHeight="1" x14ac:dyDescent="0.2"/>
    <row r="19" ht="20.100000000000001" customHeight="1" x14ac:dyDescent="0.2"/>
    <row r="20" ht="20.100000000000001" customHeight="1" x14ac:dyDescent="0.2"/>
    <row r="21" ht="20.100000000000001" customHeight="1" x14ac:dyDescent="0.2"/>
    <row r="22" ht="20.100000000000001" customHeight="1" x14ac:dyDescent="0.2"/>
    <row r="23" ht="20.100000000000001" customHeight="1" x14ac:dyDescent="0.2"/>
    <row r="24" ht="20.100000000000001" customHeight="1" x14ac:dyDescent="0.2"/>
    <row r="25" ht="20.100000000000001" customHeight="1" x14ac:dyDescent="0.2"/>
    <row r="26" ht="20.100000000000001" customHeight="1" x14ac:dyDescent="0.2"/>
    <row r="27" ht="20.100000000000001" customHeight="1" x14ac:dyDescent="0.2"/>
    <row r="28" ht="20.100000000000001" customHeight="1" x14ac:dyDescent="0.2"/>
    <row r="29" ht="20.100000000000001" customHeight="1" x14ac:dyDescent="0.2"/>
    <row r="30" ht="20.100000000000001" customHeight="1" x14ac:dyDescent="0.2"/>
    <row r="31" ht="20.100000000000001" customHeight="1" x14ac:dyDescent="0.2"/>
    <row r="32" ht="20.100000000000001" customHeight="1" x14ac:dyDescent="0.2"/>
    <row r="33" ht="20.100000000000001" customHeight="1" x14ac:dyDescent="0.2"/>
    <row r="34" ht="20.100000000000001" customHeight="1" x14ac:dyDescent="0.2"/>
    <row r="35" ht="20.100000000000001" customHeight="1" x14ac:dyDescent="0.2"/>
    <row r="36" ht="20.100000000000001" customHeight="1" x14ac:dyDescent="0.2"/>
    <row r="37" ht="20.100000000000001" customHeight="1" x14ac:dyDescent="0.2"/>
    <row r="38" ht="20.100000000000001" customHeight="1" x14ac:dyDescent="0.2"/>
    <row r="39" ht="20.100000000000001" customHeight="1" x14ac:dyDescent="0.2"/>
    <row r="40" ht="20.100000000000001" customHeight="1" x14ac:dyDescent="0.2"/>
    <row r="41" ht="20.100000000000001" customHeight="1" x14ac:dyDescent="0.2"/>
    <row r="42" ht="20.100000000000001" customHeight="1" x14ac:dyDescent="0.2"/>
    <row r="43" ht="20.100000000000001" customHeight="1" x14ac:dyDescent="0.2"/>
    <row r="44" ht="20.100000000000001" customHeight="1" x14ac:dyDescent="0.2"/>
    <row r="45" ht="20.100000000000001" customHeight="1" x14ac:dyDescent="0.2"/>
    <row r="46" ht="20.100000000000001" customHeight="1" x14ac:dyDescent="0.2"/>
    <row r="47" ht="20.100000000000001" customHeight="1" x14ac:dyDescent="0.2"/>
  </sheetData>
  <mergeCells count="1">
    <mergeCell ref="A1:B1"/>
  </mergeCells>
  <printOptions horizontalCentered="1"/>
  <pageMargins left="0.78740157480314965" right="0.78740157480314965" top="0.98425196850393704" bottom="0.98425196850393704" header="0.51181102362204722" footer="0.51181102362204722"/>
  <pageSetup paperSize="9" orientation="portrait" horizontalDpi="300" verticalDpi="0" r:id="rId1"/>
  <headerFooter alignWithMargins="0">
    <oddHeader>&amp;C&amp;A</oddHeader>
    <oddFooter>&amp;L&amp;"Arial,Fett"Volleyballclub Neusäß e.V.&amp;"Arial,Standard"
http://www.volleyballclub.de&amp;RTurnier am &amp;D
Stand: &amp;T Uhr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9"/>
  <sheetViews>
    <sheetView workbookViewId="0">
      <selection activeCell="A10" sqref="A10"/>
    </sheetView>
  </sheetViews>
  <sheetFormatPr baseColWidth="10" defaultRowHeight="12.75" x14ac:dyDescent="0.2"/>
  <sheetData>
    <row r="1" spans="1:1" x14ac:dyDescent="0.2">
      <c r="A1" t="s">
        <v>81</v>
      </c>
    </row>
    <row r="3" spans="1:1" x14ac:dyDescent="0.2">
      <c r="A3" s="27" t="s">
        <v>78</v>
      </c>
    </row>
    <row r="4" spans="1:1" x14ac:dyDescent="0.2">
      <c r="A4" s="27" t="s">
        <v>79</v>
      </c>
    </row>
    <row r="5" spans="1:1" x14ac:dyDescent="0.2">
      <c r="A5" s="27" t="s">
        <v>80</v>
      </c>
    </row>
    <row r="6" spans="1:1" x14ac:dyDescent="0.2">
      <c r="A6" s="27"/>
    </row>
    <row r="7" spans="1:1" x14ac:dyDescent="0.2">
      <c r="A7" s="76" t="s">
        <v>82</v>
      </c>
    </row>
    <row r="8" spans="1:1" x14ac:dyDescent="0.2">
      <c r="A8" t="s">
        <v>83</v>
      </c>
    </row>
    <row r="9" spans="1:1" x14ac:dyDescent="0.2">
      <c r="A9" t="s">
        <v>84</v>
      </c>
    </row>
  </sheetData>
  <pageMargins left="0.78740157499999996" right="0.78740157499999996" top="0.984251969" bottom="0.984251969" header="0.4921259845" footer="0.4921259845"/>
  <pageSetup paperSize="9" orientation="portrait" horizontalDpi="4294967292" verticalDpi="0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6</vt:i4>
      </vt:variant>
    </vt:vector>
  </HeadingPairs>
  <TitlesOfParts>
    <vt:vector size="6" baseType="lpstr">
      <vt:lpstr>Gruppe A</vt:lpstr>
      <vt:lpstr>Gruppe B</vt:lpstr>
      <vt:lpstr>Überkreuz</vt:lpstr>
      <vt:lpstr>Platzierung</vt:lpstr>
      <vt:lpstr>Endergebnis</vt:lpstr>
      <vt:lpstr>Modus</vt:lpstr>
    </vt:vector>
  </TitlesOfParts>
  <Company>axuno gGmbH</Company>
  <LinksUpToDate>false</LinksUpToDate>
  <SharedDoc>false</SharedDoc>
  <HyperlinkBase>http://www.volleyball-turnier.de</HyperlinkBase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Turnierauswertung für 12 Mannschaften auf 2 Spielfeldern</dc:title>
  <dc:creator>axuno gGmbH</dc:creator>
  <cp:lastModifiedBy>axuno gGmbH</cp:lastModifiedBy>
  <cp:lastPrinted>2015-03-25T16:00:00Z</cp:lastPrinted>
  <dcterms:created xsi:type="dcterms:W3CDTF">2014-04-04T17:28:42Z</dcterms:created>
  <dcterms:modified xsi:type="dcterms:W3CDTF">2016-05-07T19:34:03Z</dcterms:modified>
</cp:coreProperties>
</file>